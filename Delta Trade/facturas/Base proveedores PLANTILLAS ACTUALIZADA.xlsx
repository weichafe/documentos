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os\Delta Trade\facturas\"/>
    </mc:Choice>
  </mc:AlternateContent>
  <xr:revisionPtr revIDLastSave="0" documentId="8_{566F6CB9-5AF0-4EE1-A441-92AC41CBE4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iciutd OC" sheetId="3" r:id="rId1"/>
    <sheet name="Hoja1" sheetId="4" state="hidden" r:id="rId2"/>
    <sheet name="Tablas" sheetId="2" r:id="rId3"/>
    <sheet name="BASE PROVEEDORES" sheetId="9" r:id="rId4"/>
    <sheet name="BASE PROVEEDORES BANCO" sheetId="10" r:id="rId5"/>
  </sheets>
  <definedNames>
    <definedName name="_xlnm.Print_Area" localSheetId="0">'Soliciutd OC'!$G$5:$S$60</definedName>
    <definedName name="CENTRO">Tablas!$A$14:$A$47</definedName>
    <definedName name="corredora">Tablas!$A$57</definedName>
    <definedName name="cuentas">Tablas!$E$11:$E$12</definedName>
    <definedName name="documentos">Tablas!$E$2:$E$5</definedName>
    <definedName name="Empresa">Tablas!$A$4:$A$9</definedName>
    <definedName name="LISTA1">Tablas!$J$2:$J$6</definedName>
    <definedName name="lista10">Tablas!$J$74:$J$86</definedName>
    <definedName name="LISTA11">Tablas!$J$87:$J$90</definedName>
    <definedName name="LISTA12">Tablas!$J$91:$J$96</definedName>
    <definedName name="LISTA13">Tablas!$J$97:$J$99</definedName>
    <definedName name="LISTA14">Tablas!$J$100:$J$107</definedName>
    <definedName name="LISTA15">Tablas!#REF!</definedName>
    <definedName name="LISTA16">Tablas!#REF!</definedName>
    <definedName name="LISTA17">Tablas!#REF!</definedName>
    <definedName name="LISTA18">Tablas!#REF!</definedName>
    <definedName name="LISTA19">Tablas!$J$108:$J$121</definedName>
    <definedName name="LISTA2">Tablas!$J$7:$J$18</definedName>
    <definedName name="LISTA20">Tablas!$J$122:$J$136</definedName>
    <definedName name="LISTA21">Tablas!$J$137:$J$148</definedName>
    <definedName name="LISTA22">Tablas!#REF!</definedName>
    <definedName name="LISTA23">Tablas!#REF!</definedName>
    <definedName name="LISTA24">Tablas!#REF!</definedName>
    <definedName name="LISTA25">Tablas!#REF!</definedName>
    <definedName name="LISTA26">Tablas!$J$149:$J$154</definedName>
    <definedName name="LISTA27">Tablas!$J$155:$J$160</definedName>
    <definedName name="LISTA28">Tablas!$J$161:$J$161</definedName>
    <definedName name="LISTA29">Tablas!$J$162:$J$162</definedName>
    <definedName name="LISTA3">Tablas!$J$19:$J$25</definedName>
    <definedName name="LISTA30">Tablas!$J$163:$J$177</definedName>
    <definedName name="LISTA31">Tablas!$J$178:$J$184</definedName>
    <definedName name="LISTA32">Tablas!$J$185:$J$186</definedName>
    <definedName name="LISTA33">Tablas!$J$187:$J$193</definedName>
    <definedName name="LISTA34">Tablas!$J$194:$J$199</definedName>
    <definedName name="LISTA35">Tablas!$J$195:$J$199</definedName>
    <definedName name="LISTA36">Tablas!$J$200:$J$205</definedName>
    <definedName name="LISTA37">Tablas!$J$206:$J$214</definedName>
    <definedName name="LISTA38">Tablas!$J$215:$J$221</definedName>
    <definedName name="LISTA39">Tablas!$J$222:$J$227</definedName>
    <definedName name="LISTA4">Tablas!$J$26:$J$31</definedName>
    <definedName name="LISTA40">Tablas!#REF!</definedName>
    <definedName name="lista41">Tablas!$J$244:$J$258</definedName>
    <definedName name="LISTA42">Tablas!#REF!</definedName>
    <definedName name="LISTA43">Tablas!$J$228:$J$235</definedName>
    <definedName name="LISTA44">Tablas!$J$236:$J$242</definedName>
    <definedName name="LISTA5">Tablas!$J$32:$J$38</definedName>
    <definedName name="LISTA6">Tablas!$J$39:$J$46</definedName>
    <definedName name="LISTA7">Tablas!$J$47:$J$59</definedName>
    <definedName name="LISTA8">Tablas!$J$60:$J$68</definedName>
    <definedName name="LISTA9">Tablas!$J$69:$J$73</definedName>
    <definedName name="PAGO">Tablas!$C$8:$C$14</definedName>
    <definedName name="TABLACC">Tablas!$A$14:$B$47</definedName>
    <definedName name="TIPO">Tablas!$F$10:$F$15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3" l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2" i="10"/>
  <c r="E2" i="10"/>
  <c r="C2" i="10"/>
  <c r="A2" i="10"/>
  <c r="P53" i="3"/>
  <c r="P51" i="3"/>
  <c r="I70" i="3" l="1"/>
  <c r="I71" i="3" s="1"/>
  <c r="H70" i="3"/>
  <c r="H71" i="3" s="1"/>
  <c r="J70" i="3"/>
  <c r="J71" i="3" s="1"/>
  <c r="K70" i="3"/>
  <c r="K71" i="3" s="1"/>
  <c r="L70" i="3"/>
  <c r="L71" i="3" s="1"/>
  <c r="M70" i="3"/>
  <c r="M71" i="3" s="1"/>
</calcChain>
</file>

<file path=xl/sharedStrings.xml><?xml version="1.0" encoding="utf-8"?>
<sst xmlns="http://schemas.openxmlformats.org/spreadsheetml/2006/main" count="1174" uniqueCount="354">
  <si>
    <t>Datos Responsable</t>
  </si>
  <si>
    <t>Empresa:</t>
  </si>
  <si>
    <t>Capitaria Latam S.p.A.</t>
  </si>
  <si>
    <t>Fecha de Solicitud:</t>
  </si>
  <si>
    <t>Nombre Solicitante:</t>
  </si>
  <si>
    <t>Centro de Costos:</t>
  </si>
  <si>
    <t>Ítem Presupuesto:</t>
  </si>
  <si>
    <t>Datos del Proveedor</t>
  </si>
  <si>
    <t>Nombre:</t>
  </si>
  <si>
    <t>Dirección:</t>
  </si>
  <si>
    <t>Comuna:</t>
  </si>
  <si>
    <t>Rut:</t>
  </si>
  <si>
    <t>Correo electrónico:</t>
  </si>
  <si>
    <t>Nº Cuenta:</t>
  </si>
  <si>
    <t>Tipo de Cuenta:</t>
  </si>
  <si>
    <t>Medio de Pago:</t>
  </si>
  <si>
    <t>Banco:</t>
  </si>
  <si>
    <t>Datos del Contacto</t>
  </si>
  <si>
    <t>Fecha de Pago:</t>
  </si>
  <si>
    <t>Teléfono Fijo:</t>
  </si>
  <si>
    <t>Documento Asociado:</t>
  </si>
  <si>
    <t>Teléfono Móvil:</t>
  </si>
  <si>
    <t>Moneda del Monto a Pagar:</t>
  </si>
  <si>
    <t>Indicador:</t>
  </si>
  <si>
    <t>Tipo de Cambio:</t>
  </si>
  <si>
    <t>Total a Pagar:</t>
  </si>
  <si>
    <t>* En caso de Compartir el Centro de Costo Menciónelo:</t>
  </si>
  <si>
    <t>Centro de Costo</t>
  </si>
  <si>
    <t>Item</t>
  </si>
  <si>
    <t xml:space="preserve">Monto </t>
  </si>
  <si>
    <t>Firma</t>
  </si>
  <si>
    <t>Motivo de la Solicitud</t>
  </si>
  <si>
    <t>Firma Responsable Departamento</t>
  </si>
  <si>
    <t>Carmen Sylva  2850 Depto. 32</t>
  </si>
  <si>
    <t>Documentos</t>
  </si>
  <si>
    <t>Nombre CC</t>
  </si>
  <si>
    <t>Nombre Item</t>
  </si>
  <si>
    <t>Empresas</t>
  </si>
  <si>
    <t>Factura IVA incluído</t>
  </si>
  <si>
    <t>Administración</t>
  </si>
  <si>
    <t>Capacitación Operativa</t>
  </si>
  <si>
    <t xml:space="preserve"> Administración </t>
  </si>
  <si>
    <t>[Seleccione Empresa]</t>
  </si>
  <si>
    <t>Boleta de Honorarios(Líquido a Pagar)</t>
  </si>
  <si>
    <t>Materiales de Oficina</t>
  </si>
  <si>
    <t>Capitaria S.p.A.</t>
  </si>
  <si>
    <t>Comprobante</t>
  </si>
  <si>
    <t>Actividades de Área</t>
  </si>
  <si>
    <t>Factura exenta</t>
  </si>
  <si>
    <t>Otros</t>
  </si>
  <si>
    <t>Pendiente de Activación</t>
  </si>
  <si>
    <t>Grupo Capitaria S.p.A.</t>
  </si>
  <si>
    <t>Capital Humano</t>
  </si>
  <si>
    <t>Actividades Internas</t>
  </si>
  <si>
    <t xml:space="preserve"> Capital Humano </t>
  </si>
  <si>
    <t>Global 81 S.p.A.</t>
  </si>
  <si>
    <t>Caja</t>
  </si>
  <si>
    <t>Gestión de Beneficios</t>
  </si>
  <si>
    <t>KT Financial Group</t>
  </si>
  <si>
    <t>Cheque</t>
  </si>
  <si>
    <t>Reclutamiento y Selección</t>
  </si>
  <si>
    <t>Efectivo</t>
  </si>
  <si>
    <t>CLP</t>
  </si>
  <si>
    <t>Desarrollo Organizacional</t>
  </si>
  <si>
    <t>Otra</t>
  </si>
  <si>
    <t>Corriente</t>
  </si>
  <si>
    <t>EUR</t>
  </si>
  <si>
    <t>Capacitación Estratégica</t>
  </si>
  <si>
    <t>Tarjeta Crédito</t>
  </si>
  <si>
    <t>Vista</t>
  </si>
  <si>
    <t>UF</t>
  </si>
  <si>
    <t>Honorarios</t>
  </si>
  <si>
    <t>Centros de Costo:</t>
  </si>
  <si>
    <t>Tarjeta Corporativa</t>
  </si>
  <si>
    <t>PEN</t>
  </si>
  <si>
    <t>LISTA1</t>
  </si>
  <si>
    <t>Transferencia</t>
  </si>
  <si>
    <t>GBP</t>
  </si>
  <si>
    <t>LISTA2</t>
  </si>
  <si>
    <t>USD</t>
  </si>
  <si>
    <t>Compliance</t>
  </si>
  <si>
    <t>LISTA3</t>
  </si>
  <si>
    <t>Control de Gestión</t>
  </si>
  <si>
    <t>LISTA4</t>
  </si>
  <si>
    <t>Comprometido</t>
  </si>
  <si>
    <t>Estrategias de Inversión</t>
  </si>
  <si>
    <t>LISTA5</t>
  </si>
  <si>
    <t>Estudios</t>
  </si>
  <si>
    <t>LISTA6</t>
  </si>
  <si>
    <t>SI - Compliance</t>
  </si>
  <si>
    <t xml:space="preserve"> Compliance </t>
  </si>
  <si>
    <t>General Ventas</t>
  </si>
  <si>
    <t>LISTA7</t>
  </si>
  <si>
    <t>Gerencia</t>
  </si>
  <si>
    <t>LISTA8</t>
  </si>
  <si>
    <t>GRAF</t>
  </si>
  <si>
    <t>LISTA9</t>
  </si>
  <si>
    <t>Graf Latino</t>
  </si>
  <si>
    <t>LISTA41</t>
  </si>
  <si>
    <t>Graf Latino Perú</t>
  </si>
  <si>
    <t>LISTA42</t>
  </si>
  <si>
    <t>Graf Latino Uruguay</t>
  </si>
  <si>
    <t>LISTA43</t>
  </si>
  <si>
    <t>Inglaterra</t>
  </si>
  <si>
    <t>LISTA30</t>
  </si>
  <si>
    <t>SI - Sistemas</t>
  </si>
  <si>
    <t xml:space="preserve"> Control de Gestión </t>
  </si>
  <si>
    <t>Marketing</t>
  </si>
  <si>
    <t>LISTA10</t>
  </si>
  <si>
    <t>Marketing Fidelización de Clientes</t>
  </si>
  <si>
    <t>LISTA11</t>
  </si>
  <si>
    <t>Marketing Generación de Prospectos</t>
  </si>
  <si>
    <t>LISTA12</t>
  </si>
  <si>
    <t>Marketing Otros</t>
  </si>
  <si>
    <t>LISTA15</t>
  </si>
  <si>
    <t>Marketing Ventas</t>
  </si>
  <si>
    <t>LISTA13</t>
  </si>
  <si>
    <t>Mesa De Dinero</t>
  </si>
  <si>
    <t>LISTA14</t>
  </si>
  <si>
    <t>Gastos de Representación Comercial</t>
  </si>
  <si>
    <t xml:space="preserve"> Estrategias de Inversión </t>
  </si>
  <si>
    <t>No Op Santiago</t>
  </si>
  <si>
    <t>LISTA19</t>
  </si>
  <si>
    <t>Viajes y Viáticos</t>
  </si>
  <si>
    <t>No Op Viña del Mar</t>
  </si>
  <si>
    <t>LISTA20</t>
  </si>
  <si>
    <t>Operaciones</t>
  </si>
  <si>
    <t>LISTA21</t>
  </si>
  <si>
    <t>Plataforma Santiago 1</t>
  </si>
  <si>
    <t>LISTA26</t>
  </si>
  <si>
    <t>Plataforma Santiago 2</t>
  </si>
  <si>
    <t>LISTA27</t>
  </si>
  <si>
    <t>Plataforma Viña del Mar</t>
  </si>
  <si>
    <t>LISTA31</t>
  </si>
  <si>
    <t>Servicio Al Cliente</t>
  </si>
  <si>
    <t>LISTA33</t>
  </si>
  <si>
    <t xml:space="preserve"> Estudios </t>
  </si>
  <si>
    <t>TI</t>
  </si>
  <si>
    <t>LISTA34</t>
  </si>
  <si>
    <t>Servicios Profesionales</t>
  </si>
  <si>
    <t>TI - Infraestructura</t>
  </si>
  <si>
    <t>LISTA36</t>
  </si>
  <si>
    <t>TI - Ops &amp; Sec</t>
  </si>
  <si>
    <t>LISTA28</t>
  </si>
  <si>
    <t>TI - Proyectos</t>
  </si>
  <si>
    <t>LISTA29</t>
  </si>
  <si>
    <t>TI - Sistemas</t>
  </si>
  <si>
    <t>LISTA32</t>
  </si>
  <si>
    <t>Venta Institucional</t>
  </si>
  <si>
    <t>LISTA37</t>
  </si>
  <si>
    <t>Proyecto FLASH</t>
  </si>
  <si>
    <t>LISTA38</t>
  </si>
  <si>
    <t>Visado</t>
  </si>
  <si>
    <t>LISTA39</t>
  </si>
  <si>
    <t>Copa Capitaria</t>
  </si>
  <si>
    <t xml:space="preserve"> General Ventas </t>
  </si>
  <si>
    <t>SI - Servicios de Gestión Comercial</t>
  </si>
  <si>
    <t>Inducción</t>
  </si>
  <si>
    <t>Servicios Legales</t>
  </si>
  <si>
    <t>Correo</t>
  </si>
  <si>
    <t>General</t>
  </si>
  <si>
    <t>Gastos de Representación</t>
  </si>
  <si>
    <t xml:space="preserve"> Gerencia </t>
  </si>
  <si>
    <t>Asesoria comunicacional</t>
  </si>
  <si>
    <t xml:space="preserve"> graf </t>
  </si>
  <si>
    <t>Auditorías</t>
  </si>
  <si>
    <t>Mantención Página Web</t>
  </si>
  <si>
    <t xml:space="preserve"> Marketing </t>
  </si>
  <si>
    <t>Remodelación Oficina</t>
  </si>
  <si>
    <t>MailChimp</t>
  </si>
  <si>
    <t>Masterbase</t>
  </si>
  <si>
    <t>Zapier</t>
  </si>
  <si>
    <t>Zendesk</t>
  </si>
  <si>
    <t>Go to Meeting</t>
  </si>
  <si>
    <t>Merchandising</t>
  </si>
  <si>
    <t>Eventos Clientes</t>
  </si>
  <si>
    <t xml:space="preserve"> Marketing Fidelización de Clientes </t>
  </si>
  <si>
    <t>Regalos</t>
  </si>
  <si>
    <t>Cliente Incognito</t>
  </si>
  <si>
    <t>Team Chile</t>
  </si>
  <si>
    <t>BTL</t>
  </si>
  <si>
    <t xml:space="preserve"> Marketing Generación de Prospectos </t>
  </si>
  <si>
    <t>Google</t>
  </si>
  <si>
    <t>Facebook</t>
  </si>
  <si>
    <t>Otros Medios Online</t>
  </si>
  <si>
    <t>Asesor Comunidad</t>
  </si>
  <si>
    <t>Asesor SEM</t>
  </si>
  <si>
    <t>Publicidad</t>
  </si>
  <si>
    <t xml:space="preserve"> Marketing Ventas </t>
  </si>
  <si>
    <t>Eventos</t>
  </si>
  <si>
    <t xml:space="preserve"> Mesa De Dinero </t>
  </si>
  <si>
    <t>Seguros</t>
  </si>
  <si>
    <t>Arriendo</t>
  </si>
  <si>
    <t xml:space="preserve"> No Op Santiago </t>
  </si>
  <si>
    <t>Gastos Comunes</t>
  </si>
  <si>
    <t>Telefonía Móvil</t>
  </si>
  <si>
    <t>Limpieza y Aseo</t>
  </si>
  <si>
    <t>Mantención y Reparación de Oficinas</t>
  </si>
  <si>
    <t>Servicios para el personal</t>
  </si>
  <si>
    <t>Fotocopias</t>
  </si>
  <si>
    <t>Coffe Clientes y Proveedores</t>
  </si>
  <si>
    <t xml:space="preserve"> No Op Viña del Mar </t>
  </si>
  <si>
    <t>Electricidad</t>
  </si>
  <si>
    <t>Telefonía Fija</t>
  </si>
  <si>
    <t>Internet</t>
  </si>
  <si>
    <t>Insumos Computacionales</t>
  </si>
  <si>
    <t>Seguro Complementario</t>
  </si>
  <si>
    <t xml:space="preserve"> Operaciones </t>
  </si>
  <si>
    <t>Patentes</t>
  </si>
  <si>
    <t>Donaciones</t>
  </si>
  <si>
    <t>Multas</t>
  </si>
  <si>
    <t xml:space="preserve"> Plataforma Santiago 1 </t>
  </si>
  <si>
    <t xml:space="preserve"> Plataforma Santiago 2 </t>
  </si>
  <si>
    <t>Plataforma de cliente interno</t>
  </si>
  <si>
    <t xml:space="preserve"> TI - Ops &amp; Sec </t>
  </si>
  <si>
    <t>Proyecto Especifico</t>
  </si>
  <si>
    <t xml:space="preserve"> TI - Proyectos </t>
  </si>
  <si>
    <t>Oficina</t>
  </si>
  <si>
    <t>Viajes y Viaticos</t>
  </si>
  <si>
    <t>Corporate Structure and setup</t>
  </si>
  <si>
    <t xml:space="preserve">Telefonía </t>
  </si>
  <si>
    <t>Finance and HR</t>
  </si>
  <si>
    <t xml:space="preserve">Insumos Oficina </t>
  </si>
  <si>
    <t>Management accounting</t>
  </si>
  <si>
    <t>Payroll</t>
  </si>
  <si>
    <t>Regulatory reporting</t>
  </si>
  <si>
    <t>Otros Gastos Preimplementacion</t>
  </si>
  <si>
    <t xml:space="preserve"> Plataforma Viña del Mar </t>
  </si>
  <si>
    <t>Licencias Sistemas</t>
  </si>
  <si>
    <t xml:space="preserve"> TI - Sistemas </t>
  </si>
  <si>
    <t>Plataforma Clientes</t>
  </si>
  <si>
    <t xml:space="preserve"> Servicio Al Cliente </t>
  </si>
  <si>
    <t xml:space="preserve"> TI </t>
  </si>
  <si>
    <t>Desarrollo de Equipo</t>
  </si>
  <si>
    <t>Compra de Hardware</t>
  </si>
  <si>
    <t xml:space="preserve"> TI - Infraestructura </t>
  </si>
  <si>
    <t>Emergencias</t>
  </si>
  <si>
    <t>Licencias Infraestructura</t>
  </si>
  <si>
    <t>Telecomunicaciones</t>
  </si>
  <si>
    <t>Mantención de Hardware</t>
  </si>
  <si>
    <t>Servidores</t>
  </si>
  <si>
    <t xml:space="preserve"> Venta Institucional </t>
  </si>
  <si>
    <t>Branding</t>
  </si>
  <si>
    <t>Fidelización</t>
  </si>
  <si>
    <t>Generación de prospectos</t>
  </si>
  <si>
    <t>Si - Sistemas</t>
  </si>
  <si>
    <t>otros</t>
  </si>
  <si>
    <t>Licencias</t>
  </si>
  <si>
    <t>Asesoria Profesional</t>
  </si>
  <si>
    <t>Servicios electronicos</t>
  </si>
  <si>
    <t>Agencia / Facebook</t>
  </si>
  <si>
    <t>Publicidad on line</t>
  </si>
  <si>
    <t xml:space="preserve">Servicios Legales </t>
  </si>
  <si>
    <t>Impuestos</t>
  </si>
  <si>
    <t>Servicios Electrónicos</t>
  </si>
  <si>
    <t>Seguro complementario</t>
  </si>
  <si>
    <t>Auditorias</t>
  </si>
  <si>
    <t>BCA</t>
  </si>
  <si>
    <t>Derechos Bolsa</t>
  </si>
  <si>
    <t>Pagos a CCLV y DCV</t>
  </si>
  <si>
    <t>Mesa Comercial</t>
  </si>
  <si>
    <t>Mesa Renta Fija</t>
  </si>
  <si>
    <t>Mesa Renta Variable USD</t>
  </si>
  <si>
    <t>Vector Capital Corredora de Bolsa Spa.</t>
  </si>
  <si>
    <t xml:space="preserve">AGENCIA DE COMUNICACIONES SMARTPRESS </t>
  </si>
  <si>
    <t>RISKAMERICA</t>
  </si>
  <si>
    <t>MORAGA Y CIA LTDA</t>
  </si>
  <si>
    <t>RAFAEL VIAL VALENZUELA</t>
  </si>
  <si>
    <t>RACIONAL SPA</t>
  </si>
  <si>
    <t>ASESORIAS E INVERSIONES LOS COLBUNES SPA</t>
  </si>
  <si>
    <t>MONTO</t>
  </si>
  <si>
    <t>MEDINA SILVA LTDA</t>
  </si>
  <si>
    <t>RUT</t>
  </si>
  <si>
    <t>KHIPU SPA</t>
  </si>
  <si>
    <t>RODRIGO CASTRO</t>
  </si>
  <si>
    <t>LAROCHE CAPITAL SPA</t>
  </si>
  <si>
    <t>AGUSTIN LARA</t>
  </si>
  <si>
    <t>ASESORIAS E INVERSIONES THX SPA</t>
  </si>
  <si>
    <t>FEDERICO GOYCOOLEA SAEZ</t>
  </si>
  <si>
    <t>Nombre</t>
  </si>
  <si>
    <t>NOMBRE BANCO</t>
  </si>
  <si>
    <t>CÓDIGO</t>
  </si>
  <si>
    <t xml:space="preserve"> BANCO BCI</t>
  </si>
  <si>
    <t xml:space="preserve"> BANCO BICE</t>
  </si>
  <si>
    <t xml:space="preserve"> BANCO CONSORCIO</t>
  </si>
  <si>
    <t xml:space="preserve"> BANCO CORPBANCA</t>
  </si>
  <si>
    <t xml:space="preserve"> BANCO CREDICHILE</t>
  </si>
  <si>
    <t xml:space="preserve"> BANCO DE A. EDWARDS</t>
  </si>
  <si>
    <t xml:space="preserve"> BANCO DE CHILE</t>
  </si>
  <si>
    <t xml:space="preserve"> BANCO DEL DESARROLLO</t>
  </si>
  <si>
    <t xml:space="preserve"> BANCO DEL ESTADO DE CHILE</t>
  </si>
  <si>
    <t xml:space="preserve"> BANCO FALABELLA</t>
  </si>
  <si>
    <t xml:space="preserve"> BANCO INTERNACIONAL</t>
  </si>
  <si>
    <t xml:space="preserve"> BANCO ITAU</t>
  </si>
  <si>
    <t xml:space="preserve"> BANCO ITAÚ CHILE</t>
  </si>
  <si>
    <t xml:space="preserve"> BANCO SANTANDER</t>
  </si>
  <si>
    <t xml:space="preserve"> BANCO SCOTIABANK</t>
  </si>
  <si>
    <t xml:space="preserve"> BANCO SECURITY</t>
  </si>
  <si>
    <t xml:space="preserve"> BANCO TBANC</t>
  </si>
  <si>
    <t xml:space="preserve"> BBVA</t>
  </si>
  <si>
    <t>PORCENTAJES</t>
  </si>
  <si>
    <t>NOMBRE</t>
  </si>
  <si>
    <t>CUENTA</t>
  </si>
  <si>
    <t>CODIGO BANCO</t>
  </si>
  <si>
    <t>FACTURA</t>
  </si>
  <si>
    <t>CORREO</t>
  </si>
  <si>
    <t>ALARA@VECTORCAPITAL.CL</t>
  </si>
  <si>
    <t>CÓDIGO BANCO</t>
  </si>
  <si>
    <t>antoniae1@gmail.com</t>
  </si>
  <si>
    <t>fgoycoolea@vectorcapital.cl</t>
  </si>
  <si>
    <t>rcastro@vectorcapital.cl</t>
  </si>
  <si>
    <t>administracion@moragaicia.com</t>
  </si>
  <si>
    <t>ERIC.VAMBELLE@LAROCHECAPITAL.COM</t>
  </si>
  <si>
    <t>hernan.leon@khipu.com</t>
  </si>
  <si>
    <t>PROTEMPLA CLIMATIZACION Y CIA LTDA</t>
  </si>
  <si>
    <t>cjofre@protempla.cl</t>
  </si>
  <si>
    <t>dthenoux@thxinversiones.com</t>
  </si>
  <si>
    <t>fcarcamo@riskamerica.com</t>
  </si>
  <si>
    <t>SHERPAWMC SPA</t>
  </si>
  <si>
    <t>mcc@sherpawmc.cl</t>
  </si>
  <si>
    <t>elopez@smartpress.cl</t>
  </si>
  <si>
    <t>jsilva@vectorcapital.cl</t>
  </si>
  <si>
    <t>bgarafulic@racional.cl</t>
  </si>
  <si>
    <t>BETTERPLAN ADVISOR SPA</t>
  </si>
  <si>
    <t>josetomas@betterplan.cl</t>
  </si>
  <si>
    <t>PROVEEDORES INTEGRALES PRISA</t>
  </si>
  <si>
    <t>jaime.alcaino@tersusbridge.com</t>
  </si>
  <si>
    <t>administracion@nouschile.cl</t>
  </si>
  <si>
    <t>CREASYS SA</t>
  </si>
  <si>
    <t>ygallardo@creasys.cl</t>
  </si>
  <si>
    <t>INVERSIONES UGARTE S.A.</t>
  </si>
  <si>
    <t>COTAPOS.LORETO@GMAIL.COM</t>
  </si>
  <si>
    <t>SERVICIOS EQUIFAX CHILE LTDA.</t>
  </si>
  <si>
    <t>pagosclientes@equifax.cl</t>
  </si>
  <si>
    <t>GTD TELEDUCTOS SA</t>
  </si>
  <si>
    <t>ycharmin@grupogtd.com</t>
  </si>
  <si>
    <t>BOLSA DE SANTIAGO</t>
  </si>
  <si>
    <t>ourzua@bolsadesantiago.com</t>
  </si>
  <si>
    <t>serviciosclientes@prisa.cl</t>
  </si>
  <si>
    <t>CCLV CONTRAPARTE CENTRAL S.A</t>
  </si>
  <si>
    <t>INVERSIONES BURSATILES</t>
  </si>
  <si>
    <t xml:space="preserve">DEPOSITO CENTRAL DE VALORES </t>
  </si>
  <si>
    <t>jmelys@dcv.cl</t>
  </si>
  <si>
    <t>ACEPTA S.A.</t>
  </si>
  <si>
    <t>administracion@acepta.com</t>
  </si>
  <si>
    <t>METLIFE CHILE SEGUROS</t>
  </si>
  <si>
    <t>lorecontru@gmail.com</t>
  </si>
  <si>
    <t>Formulario Solicitud OC</t>
  </si>
  <si>
    <t>Victor Nazar</t>
  </si>
  <si>
    <t>Alonso</t>
  </si>
  <si>
    <t>chatGPT, licencia moba xtearm</t>
  </si>
  <si>
    <t>67-10979-1</t>
  </si>
  <si>
    <t>16138017-2</t>
  </si>
  <si>
    <t>Github (licencia mensual IA) CHAT GPT (Licencia mensual IA), Dominio VECTORTRADE.cl (suscripcion anual) INTELLIJ ENTORNO DESARROLLO (SUSCRIPCIÓN 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</si>
</sst>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_-* #,##0_-;\-* #,##0_-;_-* &quot;-&quot;??_-;_-@_-"/>
    <numFmt numFmtId="169" formatCode="_-[$$-409]* #,##0.0_ ;_-[$$-409]* \-#,##0.0\ ;_-[$$-409]* &quot;-&quot;_ ;_-@_ "/>
    <numFmt numFmtId="170" formatCode="_-[$$-340A]\ * #,##0_-;\-[$$-340A]\ * #,##0_-;_-[$$-340A]\ * &quot;-&quot;_-;_-@_-"/>
    <numFmt numFmtId="171" formatCode="#,##0.00\ ;&quot; -&quot;#,##0.00\ ;&quot; -&quot;#\ ;@\ "/>
    <numFmt numFmtId="172" formatCode="_ &quot;S/.&quot;\ * #,##0.00_ ;_ &quot;S/.&quot;\ * \-#,##0.00_ ;_ &quot;S/.&quot;\ * &quot;-&quot;??_ ;_ @_ "/>
    <numFmt numFmtId="173" formatCode="&quot; S/. &quot;#,##0.00\ ;&quot; S/. -&quot;#,##0.00\ ;&quot; S/. -&quot;#\ ;@\ "/>
    <numFmt numFmtId="174" formatCode="&quot; $ &quot;#,##0.00&quot; &quot;;&quot;-$ &quot;#,##0.00&quot; &quot;;&quot; $ -&quot;#&quot; &quot;;@&quot; &quot;"/>
    <numFmt numFmtId="175" formatCode="#,##0.00&quot; &quot;;&quot;-&quot;#,##0.00&quot; &quot;;&quot; -&quot;#&quot; &quot;;@&quot; &quot;"/>
    <numFmt numFmtId="176" formatCode="_(* #,##0.00_);_(* \(#,##0.00\);_(* \-??_);_(@_)"/>
    <numFmt numFmtId="177" formatCode="_-* #,##0.00\ _P_t_s_-;\-* #,##0.00\ _P_t_s_-;_-* &quot;-&quot;??\ _P_t_s_-;_-@_-"/>
    <numFmt numFmtId="178" formatCode="_(* #,##0.00_);_(* \(#,##0.00\);_(* &quot;-&quot;??_);_(@_)"/>
    <numFmt numFmtId="179" formatCode="&quot;S/.&quot;\ #,##0_);\(&quot;S/.&quot;\ #,##0\)"/>
    <numFmt numFmtId="180" formatCode="_-* #,##0_-;\-* #,##0_-;_-* &quot;-&quot;_-;_-@_-"/>
    <numFmt numFmtId="181" formatCode="[$-340A]General"/>
  </numFmts>
  <fonts count="5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1"/>
    </font>
    <font>
      <sz val="10"/>
      <name val="Formata Regula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theme="1"/>
      <name val="Mangal"/>
      <family val="1"/>
    </font>
    <font>
      <u/>
      <sz val="11"/>
      <color theme="10"/>
      <name val="Calibri"/>
      <family val="2"/>
      <scheme val="minor"/>
    </font>
    <font>
      <u/>
      <sz val="9.9"/>
      <color theme="10"/>
      <name val="Calibri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eometos"/>
    </font>
    <font>
      <b/>
      <sz val="11"/>
      <color theme="0"/>
      <name val="Candara"/>
      <family val="2"/>
    </font>
    <font>
      <b/>
      <sz val="11"/>
      <color theme="1"/>
      <name val="Candara"/>
      <family val="2"/>
    </font>
    <font>
      <sz val="11"/>
      <color theme="1"/>
      <name val="Montserrat"/>
      <family val="3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Montserrat"/>
      <family val="3"/>
    </font>
    <font>
      <sz val="12"/>
      <color theme="1"/>
      <name val="Montserrat"/>
      <family val="3"/>
    </font>
    <font>
      <sz val="14"/>
      <color theme="1"/>
      <name val="Geometos"/>
    </font>
    <font>
      <sz val="12"/>
      <color theme="1"/>
      <name val="Geometos"/>
    </font>
    <font>
      <b/>
      <sz val="16"/>
      <color theme="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CCE4"/>
        <bgColor indexed="64"/>
      </patternFill>
    </fill>
    <fill>
      <gradientFill type="path" left="1" right="1" top="1" bottom="1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AEAEA"/>
        <bgColor indexed="64"/>
      </patternFill>
    </fill>
    <fill>
      <gradientFill degree="135">
        <stop position="0">
          <color theme="3" tint="0.80001220740379042"/>
        </stop>
        <stop position="1">
          <color theme="4" tint="-0.25098422193060094"/>
        </stop>
      </gradientFill>
    </fill>
    <fill>
      <gradientFill degree="90">
        <stop position="0">
          <color theme="0" tint="-0.25098422193060094"/>
        </stop>
        <stop position="1">
          <color theme="0" tint="-0.1490218817712943"/>
        </stop>
      </gradient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theme="0"/>
      </bottom>
      <diagonal/>
    </border>
    <border>
      <left style="thin">
        <color indexed="64"/>
      </left>
      <right/>
      <top style="thin">
        <color theme="1" tint="0.499984740745262"/>
      </top>
      <bottom style="thick">
        <color theme="0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theme="1" tint="0.499984740745262"/>
      </top>
      <bottom style="thick">
        <color theme="0"/>
      </bottom>
      <diagonal/>
    </border>
    <border>
      <left/>
      <right/>
      <top/>
      <bottom style="double">
        <color theme="1" tint="0.499984740745262"/>
      </bottom>
      <diagonal/>
    </border>
  </borders>
  <cellStyleXfs count="179">
    <xf numFmtId="0" fontId="0" fillId="0" borderId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18" applyNumberFormat="0" applyAlignment="0" applyProtection="0"/>
    <xf numFmtId="0" fontId="28" fillId="44" borderId="19" applyNumberFormat="0" applyAlignment="0" applyProtection="0"/>
    <xf numFmtId="0" fontId="29" fillId="0" borderId="20" applyNumberFormat="0" applyFill="0" applyAlignment="0" applyProtection="0"/>
    <xf numFmtId="0" fontId="30" fillId="0" borderId="0" applyNumberFormat="0" applyFill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50" borderId="0" applyNumberFormat="0" applyBorder="0" applyAlignment="0" applyProtection="0"/>
    <xf numFmtId="0" fontId="31" fillId="51" borderId="18" applyNumberFormat="0" applyAlignment="0" applyProtection="0"/>
    <xf numFmtId="166" fontId="19" fillId="0" borderId="0" applyFont="0" applyFill="0" applyBorder="0" applyAlignment="0" applyProtection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9" fillId="3" borderId="0"/>
    <xf numFmtId="0" fontId="4" fillId="20" borderId="1"/>
    <xf numFmtId="0" fontId="4" fillId="20" borderId="1"/>
    <xf numFmtId="0" fontId="5" fillId="21" borderId="2"/>
    <xf numFmtId="175" fontId="32" fillId="0" borderId="0"/>
    <xf numFmtId="174" fontId="32" fillId="0" borderId="0"/>
    <xf numFmtId="0" fontId="13" fillId="0" borderId="0"/>
    <xf numFmtId="0" fontId="3" fillId="4" borderId="0"/>
    <xf numFmtId="0" fontId="15" fillId="0" borderId="4"/>
    <xf numFmtId="0" fontId="16" fillId="0" borderId="5"/>
    <xf numFmtId="0" fontId="7" fillId="0" borderId="6"/>
    <xf numFmtId="0" fontId="7" fillId="0" borderId="0"/>
    <xf numFmtId="0" fontId="8" fillId="7" borderId="1"/>
    <xf numFmtId="0" fontId="8" fillId="7" borderId="1"/>
    <xf numFmtId="0" fontId="6" fillId="0" borderId="3"/>
    <xf numFmtId="0" fontId="10" fillId="22" borderId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/>
    <xf numFmtId="0" fontId="1" fillId="0" borderId="0" applyBorder="0" applyProtection="0"/>
    <xf numFmtId="0" fontId="1" fillId="0" borderId="0" applyBorder="0" applyProtection="0"/>
    <xf numFmtId="0" fontId="1" fillId="0" borderId="0"/>
    <xf numFmtId="0" fontId="1" fillId="0" borderId="0" applyBorder="0" applyProtection="0"/>
    <xf numFmtId="0" fontId="21" fillId="0" borderId="0" applyBorder="0" applyProtection="0"/>
    <xf numFmtId="0" fontId="19" fillId="0" borderId="0"/>
    <xf numFmtId="0" fontId="19" fillId="23" borderId="7"/>
    <xf numFmtId="0" fontId="19" fillId="23" borderId="7"/>
    <xf numFmtId="0" fontId="11" fillId="20" borderId="8"/>
    <xf numFmtId="0" fontId="11" fillId="20" borderId="8"/>
    <xf numFmtId="0" fontId="14" fillId="0" borderId="0"/>
    <xf numFmtId="0" fontId="17" fillId="0" borderId="9"/>
    <xf numFmtId="0" fontId="17" fillId="0" borderId="9"/>
    <xf numFmtId="0" fontId="12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52" borderId="0" applyNumberFormat="0" applyBorder="0" applyAlignment="0" applyProtection="0"/>
    <xf numFmtId="167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6" fontId="19" fillId="0" borderId="0" applyFill="0" applyBorder="0" applyAlignment="0" applyProtection="0"/>
    <xf numFmtId="165" fontId="24" fillId="0" borderId="0" applyFont="0" applyFill="0" applyBorder="0" applyAlignment="0" applyProtection="0"/>
    <xf numFmtId="171" fontId="1" fillId="0" borderId="0" applyBorder="0" applyProtection="0"/>
    <xf numFmtId="171" fontId="1" fillId="0" borderId="0" applyBorder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1" fontId="1" fillId="0" borderId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1" fontId="1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9" fontId="19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9" fillId="0" borderId="0" applyFill="0" applyBorder="0" applyAlignment="0" applyProtection="0"/>
    <xf numFmtId="176" fontId="19" fillId="0" borderId="0" applyFill="0" applyBorder="0" applyAlignment="0" applyProtection="0"/>
    <xf numFmtId="43" fontId="19" fillId="0" borderId="0" applyFill="0" applyBorder="0" applyAlignment="0" applyProtection="0"/>
    <xf numFmtId="43" fontId="24" fillId="0" borderId="0" applyFont="0" applyFill="0" applyBorder="0" applyAlignment="0" applyProtection="0"/>
    <xf numFmtId="43" fontId="19" fillId="0" borderId="0" applyFill="0" applyBorder="0" applyAlignment="0" applyProtection="0"/>
    <xf numFmtId="176" fontId="19" fillId="0" borderId="0" applyFill="0" applyBorder="0" applyAlignment="0" applyProtection="0"/>
    <xf numFmtId="173" fontId="1" fillId="0" borderId="0"/>
    <xf numFmtId="164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172" fontId="19" fillId="0" borderId="0" applyFill="0" applyBorder="0" applyAlignment="0" applyProtection="0"/>
    <xf numFmtId="172" fontId="19" fillId="0" borderId="0" applyFill="0" applyBorder="0" applyAlignment="0" applyProtection="0"/>
    <xf numFmtId="172" fontId="19" fillId="0" borderId="0" applyFill="0" applyBorder="0" applyAlignment="0" applyProtection="0"/>
    <xf numFmtId="0" fontId="36" fillId="53" borderId="0" applyNumberFormat="0" applyBorder="0" applyAlignment="0" applyProtection="0"/>
    <xf numFmtId="0" fontId="23" fillId="0" borderId="0"/>
    <xf numFmtId="0" fontId="19" fillId="0" borderId="0"/>
    <xf numFmtId="169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37" fillId="0" borderId="0"/>
    <xf numFmtId="0" fontId="37" fillId="0" borderId="0"/>
    <xf numFmtId="0" fontId="37" fillId="0" borderId="0"/>
    <xf numFmtId="0" fontId="19" fillId="0" borderId="0"/>
    <xf numFmtId="0" fontId="19" fillId="0" borderId="0"/>
    <xf numFmtId="0" fontId="24" fillId="0" borderId="0"/>
    <xf numFmtId="0" fontId="20" fillId="0" borderId="0" applyBorder="0" applyProtection="0"/>
    <xf numFmtId="0" fontId="20" fillId="0" borderId="0" applyBorder="0" applyProtection="0"/>
    <xf numFmtId="0" fontId="19" fillId="0" borderId="0"/>
    <xf numFmtId="0" fontId="19" fillId="0" borderId="0"/>
    <xf numFmtId="0" fontId="22" fillId="0" borderId="0"/>
    <xf numFmtId="0" fontId="18" fillId="0" borderId="0"/>
    <xf numFmtId="0" fontId="24" fillId="0" borderId="0"/>
    <xf numFmtId="0" fontId="24" fillId="54" borderId="21" applyNumberFormat="0" applyFont="0" applyAlignment="0" applyProtection="0"/>
    <xf numFmtId="0" fontId="24" fillId="54" borderId="21" applyNumberFormat="0" applyFont="0" applyAlignment="0" applyProtection="0"/>
    <xf numFmtId="0" fontId="24" fillId="54" borderId="21" applyNumberFormat="0" applyFont="0" applyAlignment="0" applyProtection="0"/>
    <xf numFmtId="0" fontId="24" fillId="54" borderId="21" applyNumberFormat="0" applyFont="0" applyAlignment="0" applyProtection="0"/>
    <xf numFmtId="0" fontId="24" fillId="54" borderId="21" applyNumberFormat="0" applyFont="0" applyAlignment="0" applyProtection="0"/>
    <xf numFmtId="0" fontId="24" fillId="54" borderId="21" applyNumberFormat="0" applyFont="0" applyAlignment="0" applyProtection="0"/>
    <xf numFmtId="0" fontId="24" fillId="54" borderId="21" applyNumberFormat="0" applyFont="0" applyAlignment="0" applyProtection="0"/>
    <xf numFmtId="9" fontId="24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0" fontId="38" fillId="43" borderId="22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0" borderId="24" applyNumberFormat="0" applyFill="0" applyAlignment="0" applyProtection="0"/>
    <xf numFmtId="0" fontId="30" fillId="0" borderId="25" applyNumberFormat="0" applyFill="0" applyAlignment="0" applyProtection="0"/>
    <xf numFmtId="0" fontId="44" fillId="0" borderId="26" applyNumberFormat="0" applyFill="0" applyAlignment="0" applyProtection="0"/>
    <xf numFmtId="180" fontId="24" fillId="0" borderId="0" applyFont="0" applyFill="0" applyBorder="0" applyAlignment="0" applyProtection="0"/>
    <xf numFmtId="181" fontId="49" fillId="0" borderId="0" applyBorder="0" applyProtection="0"/>
    <xf numFmtId="41" fontId="24" fillId="0" borderId="0" applyFont="0" applyFill="0" applyBorder="0" applyAlignment="0" applyProtection="0"/>
  </cellStyleXfs>
  <cellXfs count="74">
    <xf numFmtId="0" fontId="0" fillId="0" borderId="0" xfId="0"/>
    <xf numFmtId="0" fontId="45" fillId="0" borderId="0" xfId="0" applyFont="1"/>
    <xf numFmtId="9" fontId="46" fillId="55" borderId="27" xfId="162" applyFont="1" applyFill="1" applyBorder="1" applyAlignment="1">
      <alignment vertical="center"/>
    </xf>
    <xf numFmtId="168" fontId="47" fillId="56" borderId="28" xfId="94" applyNumberFormat="1" applyFont="1" applyFill="1" applyBorder="1" applyAlignment="1">
      <alignment vertical="center"/>
    </xf>
    <xf numFmtId="168" fontId="47" fillId="57" borderId="28" xfId="94" applyNumberFormat="1" applyFont="1" applyFill="1" applyBorder="1" applyAlignment="1" applyProtection="1">
      <alignment vertical="center"/>
      <protection hidden="1"/>
    </xf>
    <xf numFmtId="168" fontId="47" fillId="56" borderId="28" xfId="94" applyNumberFormat="1" applyFont="1" applyFill="1" applyBorder="1" applyAlignment="1" applyProtection="1">
      <alignment vertical="center"/>
      <protection hidden="1"/>
    </xf>
    <xf numFmtId="168" fontId="47" fillId="56" borderId="27" xfId="94" applyNumberFormat="1" applyFont="1" applyFill="1" applyBorder="1" applyAlignment="1" applyProtection="1">
      <alignment vertical="center"/>
      <protection hidden="1"/>
    </xf>
    <xf numFmtId="168" fontId="47" fillId="56" borderId="27" xfId="94" applyNumberFormat="1" applyFont="1" applyFill="1" applyBorder="1" applyAlignment="1">
      <alignment vertical="center"/>
    </xf>
    <xf numFmtId="0" fontId="48" fillId="0" borderId="0" xfId="0" applyFont="1"/>
    <xf numFmtId="0" fontId="0" fillId="0" borderId="0" xfId="0" applyProtection="1">
      <protection locked="0"/>
    </xf>
    <xf numFmtId="0" fontId="49" fillId="58" borderId="0" xfId="0" applyFont="1" applyFill="1" applyAlignment="1">
      <alignment vertical="center" wrapText="1"/>
    </xf>
    <xf numFmtId="0" fontId="50" fillId="0" borderId="0" xfId="0" applyFont="1"/>
    <xf numFmtId="0" fontId="0" fillId="61" borderId="0" xfId="0" applyFill="1"/>
    <xf numFmtId="168" fontId="47" fillId="61" borderId="28" xfId="94" applyNumberFormat="1" applyFont="1" applyFill="1" applyBorder="1" applyAlignment="1">
      <alignment vertical="center"/>
    </xf>
    <xf numFmtId="14" fontId="51" fillId="59" borderId="29" xfId="0" applyNumberFormat="1" applyFont="1" applyFill="1" applyBorder="1" applyAlignment="1" applyProtection="1">
      <alignment horizontal="left" vertical="center"/>
      <protection locked="0"/>
    </xf>
    <xf numFmtId="0" fontId="45" fillId="62" borderId="0" xfId="0" applyFont="1" applyFill="1"/>
    <xf numFmtId="0" fontId="53" fillId="62" borderId="0" xfId="0" applyFont="1" applyFill="1"/>
    <xf numFmtId="0" fontId="53" fillId="62" borderId="0" xfId="0" applyFont="1" applyFill="1" applyAlignment="1">
      <alignment horizontal="left" vertical="center"/>
    </xf>
    <xf numFmtId="0" fontId="54" fillId="62" borderId="0" xfId="0" applyFont="1" applyFill="1" applyAlignment="1">
      <alignment horizontal="left" vertical="center"/>
    </xf>
    <xf numFmtId="0" fontId="0" fillId="60" borderId="0" xfId="0" applyFill="1"/>
    <xf numFmtId="0" fontId="48" fillId="62" borderId="0" xfId="0" applyFont="1" applyFill="1" applyAlignment="1">
      <alignment horizontal="left" vertical="center"/>
    </xf>
    <xf numFmtId="0" fontId="48" fillId="62" borderId="0" xfId="0" applyFont="1" applyFill="1" applyAlignment="1">
      <alignment vertical="center"/>
    </xf>
    <xf numFmtId="0" fontId="48" fillId="62" borderId="31" xfId="0" applyFont="1" applyFill="1" applyBorder="1" applyAlignment="1">
      <alignment vertical="center"/>
    </xf>
    <xf numFmtId="0" fontId="48" fillId="62" borderId="0" xfId="0" applyFont="1" applyFill="1"/>
    <xf numFmtId="0" fontId="52" fillId="62" borderId="0" xfId="0" applyFont="1" applyFill="1" applyAlignment="1">
      <alignment horizontal="left" vertical="center"/>
    </xf>
    <xf numFmtId="0" fontId="48" fillId="59" borderId="29" xfId="0" applyFont="1" applyFill="1" applyBorder="1" applyAlignment="1" applyProtection="1">
      <alignment vertical="center"/>
      <protection locked="0"/>
    </xf>
    <xf numFmtId="0" fontId="52" fillId="59" borderId="29" xfId="0" applyFont="1" applyFill="1" applyBorder="1" applyAlignment="1" applyProtection="1">
      <alignment horizontal="left" vertical="center"/>
      <protection locked="0"/>
    </xf>
    <xf numFmtId="0" fontId="48" fillId="62" borderId="0" xfId="0" applyFont="1" applyFill="1" applyAlignment="1">
      <alignment horizontal="right" vertical="center"/>
    </xf>
    <xf numFmtId="0" fontId="48" fillId="65" borderId="0" xfId="0" applyFont="1" applyFill="1"/>
    <xf numFmtId="0" fontId="48" fillId="66" borderId="0" xfId="0" applyFont="1" applyFill="1"/>
    <xf numFmtId="169" fontId="56" fillId="64" borderId="0" xfId="134" applyFont="1" applyFill="1" applyAlignment="1">
      <alignment horizontal="left" vertical="center"/>
    </xf>
    <xf numFmtId="9" fontId="0" fillId="0" borderId="0" xfId="0" applyNumberFormat="1"/>
    <xf numFmtId="1" fontId="52" fillId="59" borderId="30" xfId="162" applyNumberFormat="1" applyFont="1" applyFill="1" applyBorder="1" applyAlignment="1" applyProtection="1">
      <alignment vertical="distributed" wrapText="1" shrinkToFit="1" readingOrder="1"/>
      <protection locked="0"/>
    </xf>
    <xf numFmtId="1" fontId="48" fillId="62" borderId="0" xfId="0" applyNumberFormat="1" applyFont="1" applyFill="1" applyAlignment="1">
      <alignment horizontal="left" vertical="center"/>
    </xf>
    <xf numFmtId="169" fontId="44" fillId="67" borderId="0" xfId="134" applyFont="1" applyFill="1" applyAlignment="1">
      <alignment vertical="center"/>
    </xf>
    <xf numFmtId="0" fontId="0" fillId="65" borderId="0" xfId="0" applyFill="1"/>
    <xf numFmtId="1" fontId="0" fillId="0" borderId="0" xfId="0" applyNumberFormat="1"/>
    <xf numFmtId="169" fontId="56" fillId="64" borderId="0" xfId="134" applyFont="1" applyFill="1" applyAlignment="1">
      <alignment horizontal="center" vertical="center"/>
    </xf>
    <xf numFmtId="0" fontId="52" fillId="59" borderId="29" xfId="0" applyFont="1" applyFill="1" applyBorder="1" applyAlignment="1" applyProtection="1">
      <alignment horizontal="left" vertical="center"/>
      <protection locked="0"/>
    </xf>
    <xf numFmtId="0" fontId="52" fillId="59" borderId="32" xfId="0" applyFont="1" applyFill="1" applyBorder="1" applyAlignment="1" applyProtection="1">
      <alignment horizontal="left" vertical="center"/>
      <protection locked="0"/>
    </xf>
    <xf numFmtId="0" fontId="48" fillId="62" borderId="0" xfId="0" applyFont="1" applyFill="1" applyAlignment="1">
      <alignment horizontal="right" vertical="center"/>
    </xf>
    <xf numFmtId="0" fontId="48" fillId="62" borderId="31" xfId="0" applyFont="1" applyFill="1" applyBorder="1" applyAlignment="1">
      <alignment horizontal="right" vertical="center"/>
    </xf>
    <xf numFmtId="169" fontId="55" fillId="63" borderId="33" xfId="134" applyFont="1" applyFill="1" applyBorder="1" applyAlignment="1">
      <alignment horizontal="left" vertical="center"/>
    </xf>
    <xf numFmtId="170" fontId="52" fillId="59" borderId="30" xfId="0" applyNumberFormat="1" applyFont="1" applyFill="1" applyBorder="1" applyAlignment="1" applyProtection="1">
      <alignment horizontal="left" vertical="center" shrinkToFit="1" readingOrder="1"/>
      <protection locked="0"/>
    </xf>
    <xf numFmtId="170" fontId="52" fillId="59" borderId="32" xfId="0" applyNumberFormat="1" applyFont="1" applyFill="1" applyBorder="1" applyAlignment="1" applyProtection="1">
      <alignment horizontal="left" vertical="center" shrinkToFit="1" readingOrder="1"/>
      <protection locked="0"/>
    </xf>
    <xf numFmtId="0" fontId="48" fillId="59" borderId="29" xfId="0" applyFont="1" applyFill="1" applyBorder="1" applyAlignment="1" applyProtection="1">
      <alignment horizontal="left" vertical="center"/>
      <protection locked="0"/>
    </xf>
    <xf numFmtId="0" fontId="48" fillId="59" borderId="32" xfId="0" applyFont="1" applyFill="1" applyBorder="1" applyAlignment="1" applyProtection="1">
      <alignment horizontal="left" vertical="center"/>
      <protection locked="0"/>
    </xf>
    <xf numFmtId="0" fontId="57" fillId="59" borderId="29" xfId="90" applyFont="1" applyFill="1" applyBorder="1" applyAlignment="1" applyProtection="1">
      <alignment horizontal="left" vertical="center"/>
      <protection locked="0"/>
    </xf>
    <xf numFmtId="14" fontId="52" fillId="59" borderId="29" xfId="0" applyNumberFormat="1" applyFont="1" applyFill="1" applyBorder="1" applyAlignment="1" applyProtection="1">
      <alignment horizontal="left" vertical="center"/>
      <protection locked="0"/>
    </xf>
    <xf numFmtId="14" fontId="52" fillId="59" borderId="32" xfId="0" applyNumberFormat="1" applyFont="1" applyFill="1" applyBorder="1" applyAlignment="1" applyProtection="1">
      <alignment horizontal="left" vertical="center"/>
      <protection locked="0"/>
    </xf>
    <xf numFmtId="4" fontId="52" fillId="59" borderId="29" xfId="0" applyNumberFormat="1" applyFont="1" applyFill="1" applyBorder="1" applyAlignment="1" applyProtection="1">
      <alignment horizontal="left" vertical="center"/>
      <protection locked="0"/>
    </xf>
    <xf numFmtId="1" fontId="52" fillId="59" borderId="29" xfId="0" applyNumberFormat="1" applyFont="1" applyFill="1" applyBorder="1" applyAlignment="1" applyProtection="1">
      <alignment horizontal="left" vertical="center"/>
      <protection locked="0"/>
    </xf>
    <xf numFmtId="1" fontId="52" fillId="59" borderId="32" xfId="0" applyNumberFormat="1" applyFont="1" applyFill="1" applyBorder="1" applyAlignment="1" applyProtection="1">
      <alignment horizontal="left" vertical="center"/>
      <protection locked="0"/>
    </xf>
    <xf numFmtId="169" fontId="55" fillId="63" borderId="10" xfId="134" applyFont="1" applyFill="1" applyBorder="1" applyAlignment="1">
      <alignment horizontal="center" vertical="center"/>
    </xf>
    <xf numFmtId="0" fontId="52" fillId="59" borderId="11" xfId="0" applyFont="1" applyFill="1" applyBorder="1" applyAlignment="1" applyProtection="1">
      <alignment horizontal="left" vertical="top" wrapText="1"/>
      <protection locked="0"/>
    </xf>
    <xf numFmtId="0" fontId="52" fillId="59" borderId="12" xfId="0" applyFont="1" applyFill="1" applyBorder="1" applyAlignment="1" applyProtection="1">
      <alignment horizontal="left" vertical="top" wrapText="1"/>
      <protection locked="0"/>
    </xf>
    <xf numFmtId="0" fontId="52" fillId="59" borderId="13" xfId="0" applyFont="1" applyFill="1" applyBorder="1" applyAlignment="1" applyProtection="1">
      <alignment horizontal="left" vertical="top" wrapText="1"/>
      <protection locked="0"/>
    </xf>
    <xf numFmtId="0" fontId="52" fillId="59" borderId="14" xfId="0" applyFont="1" applyFill="1" applyBorder="1" applyAlignment="1" applyProtection="1">
      <alignment horizontal="left" vertical="top" wrapText="1"/>
      <protection locked="0"/>
    </xf>
    <xf numFmtId="0" fontId="52" fillId="59" borderId="0" xfId="0" applyFont="1" applyFill="1" applyAlignment="1" applyProtection="1">
      <alignment horizontal="left" vertical="top" wrapText="1"/>
      <protection locked="0"/>
    </xf>
    <xf numFmtId="0" fontId="52" fillId="59" borderId="15" xfId="0" applyFont="1" applyFill="1" applyBorder="1" applyAlignment="1" applyProtection="1">
      <alignment horizontal="left" vertical="top" wrapText="1"/>
      <protection locked="0"/>
    </xf>
    <xf numFmtId="0" fontId="52" fillId="59" borderId="16" xfId="0" applyFont="1" applyFill="1" applyBorder="1" applyAlignment="1" applyProtection="1">
      <alignment horizontal="left" vertical="top" wrapText="1"/>
      <protection locked="0"/>
    </xf>
    <xf numFmtId="0" fontId="52" fillId="59" borderId="10" xfId="0" applyFont="1" applyFill="1" applyBorder="1" applyAlignment="1" applyProtection="1">
      <alignment horizontal="left" vertical="top" wrapText="1"/>
      <protection locked="0"/>
    </xf>
    <xf numFmtId="0" fontId="52" fillId="59" borderId="17" xfId="0" applyFont="1" applyFill="1" applyBorder="1" applyAlignment="1" applyProtection="1">
      <alignment horizontal="left" vertical="top" wrapText="1"/>
      <protection locked="0"/>
    </xf>
    <xf numFmtId="0" fontId="48" fillId="59" borderId="11" xfId="0" applyFont="1" applyFill="1" applyBorder="1" applyAlignment="1" applyProtection="1">
      <alignment horizontal="center" vertical="center"/>
      <protection locked="0"/>
    </xf>
    <xf numFmtId="0" fontId="48" fillId="59" borderId="12" xfId="0" applyFont="1" applyFill="1" applyBorder="1" applyAlignment="1" applyProtection="1">
      <alignment horizontal="center" vertical="center"/>
      <protection locked="0"/>
    </xf>
    <xf numFmtId="0" fontId="48" fillId="59" borderId="13" xfId="0" applyFont="1" applyFill="1" applyBorder="1" applyAlignment="1" applyProtection="1">
      <alignment horizontal="center" vertical="center"/>
      <protection locked="0"/>
    </xf>
    <xf numFmtId="0" fontId="48" fillId="59" borderId="14" xfId="0" applyFont="1" applyFill="1" applyBorder="1" applyAlignment="1" applyProtection="1">
      <alignment horizontal="center" vertical="center"/>
      <protection locked="0"/>
    </xf>
    <xf numFmtId="0" fontId="48" fillId="59" borderId="0" xfId="0" applyFont="1" applyFill="1" applyAlignment="1" applyProtection="1">
      <alignment horizontal="center" vertical="center"/>
      <protection locked="0"/>
    </xf>
    <xf numFmtId="0" fontId="48" fillId="59" borderId="15" xfId="0" applyFont="1" applyFill="1" applyBorder="1" applyAlignment="1" applyProtection="1">
      <alignment horizontal="center" vertical="center"/>
      <protection locked="0"/>
    </xf>
    <xf numFmtId="0" fontId="48" fillId="59" borderId="16" xfId="0" applyFont="1" applyFill="1" applyBorder="1" applyAlignment="1" applyProtection="1">
      <alignment horizontal="center" vertical="center"/>
      <protection locked="0"/>
    </xf>
    <xf numFmtId="0" fontId="48" fillId="59" borderId="10" xfId="0" applyFont="1" applyFill="1" applyBorder="1" applyAlignment="1" applyProtection="1">
      <alignment horizontal="center" vertical="center"/>
      <protection locked="0"/>
    </xf>
    <xf numFmtId="0" fontId="48" fillId="59" borderId="17" xfId="0" applyFont="1" applyFill="1" applyBorder="1" applyAlignment="1" applyProtection="1">
      <alignment horizontal="center" vertical="center"/>
      <protection locked="0"/>
    </xf>
    <xf numFmtId="169" fontId="55" fillId="63" borderId="0" xfId="134" applyFont="1" applyFill="1" applyAlignment="1">
      <alignment horizontal="center" vertical="center"/>
    </xf>
    <xf numFmtId="41" fontId="52" fillId="59" borderId="30" xfId="178" applyFont="1" applyFill="1" applyBorder="1" applyAlignment="1" applyProtection="1">
      <alignment vertical="distributed" wrapText="1" shrinkToFit="1" readingOrder="1"/>
      <protection locked="0"/>
    </xf>
  </cellXfs>
  <cellStyles count="17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172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 xr:uid="{00000000-0005-0000-0000-00001E000000}"/>
    <cellStyle name="Excel Built-in 20% - Accent1" xfId="32" xr:uid="{00000000-0005-0000-0000-00001F000000}"/>
    <cellStyle name="Excel Built-in 20% - Accent2" xfId="33" xr:uid="{00000000-0005-0000-0000-000020000000}"/>
    <cellStyle name="Excel Built-in 20% - Accent3" xfId="34" xr:uid="{00000000-0005-0000-0000-000021000000}"/>
    <cellStyle name="Excel Built-in 20% - Accent4" xfId="35" xr:uid="{00000000-0005-0000-0000-000022000000}"/>
    <cellStyle name="Excel Built-in 20% - Accent5" xfId="36" xr:uid="{00000000-0005-0000-0000-000023000000}"/>
    <cellStyle name="Excel Built-in 20% - Accent6" xfId="37" xr:uid="{00000000-0005-0000-0000-000024000000}"/>
    <cellStyle name="Excel Built-in 40% - Accent1" xfId="38" xr:uid="{00000000-0005-0000-0000-000025000000}"/>
    <cellStyle name="Excel Built-in 40% - Accent2" xfId="39" xr:uid="{00000000-0005-0000-0000-000026000000}"/>
    <cellStyle name="Excel Built-in 40% - Accent3" xfId="40" xr:uid="{00000000-0005-0000-0000-000027000000}"/>
    <cellStyle name="Excel Built-in 40% - Accent4" xfId="41" xr:uid="{00000000-0005-0000-0000-000028000000}"/>
    <cellStyle name="Excel Built-in 40% - Accent5" xfId="42" xr:uid="{00000000-0005-0000-0000-000029000000}"/>
    <cellStyle name="Excel Built-in 40% - Accent6" xfId="43" xr:uid="{00000000-0005-0000-0000-00002A000000}"/>
    <cellStyle name="Excel Built-in 60% - Accent1" xfId="44" xr:uid="{00000000-0005-0000-0000-00002B000000}"/>
    <cellStyle name="Excel Built-in 60% - Accent2" xfId="45" xr:uid="{00000000-0005-0000-0000-00002C000000}"/>
    <cellStyle name="Excel Built-in 60% - Accent3" xfId="46" xr:uid="{00000000-0005-0000-0000-00002D000000}"/>
    <cellStyle name="Excel Built-in 60% - Accent4" xfId="47" xr:uid="{00000000-0005-0000-0000-00002E000000}"/>
    <cellStyle name="Excel Built-in 60% - Accent5" xfId="48" xr:uid="{00000000-0005-0000-0000-00002F000000}"/>
    <cellStyle name="Excel Built-in 60% - Accent6" xfId="49" xr:uid="{00000000-0005-0000-0000-000030000000}"/>
    <cellStyle name="Excel Built-in Accent1" xfId="50" xr:uid="{00000000-0005-0000-0000-000031000000}"/>
    <cellStyle name="Excel Built-in Accent2" xfId="51" xr:uid="{00000000-0005-0000-0000-000032000000}"/>
    <cellStyle name="Excel Built-in Accent3" xfId="52" xr:uid="{00000000-0005-0000-0000-000033000000}"/>
    <cellStyle name="Excel Built-in Accent4" xfId="53" xr:uid="{00000000-0005-0000-0000-000034000000}"/>
    <cellStyle name="Excel Built-in Accent5" xfId="54" xr:uid="{00000000-0005-0000-0000-000035000000}"/>
    <cellStyle name="Excel Built-in Accent6" xfId="55" xr:uid="{00000000-0005-0000-0000-000036000000}"/>
    <cellStyle name="Excel Built-in Bad" xfId="56" xr:uid="{00000000-0005-0000-0000-000037000000}"/>
    <cellStyle name="Excel Built-in Calculation" xfId="57" xr:uid="{00000000-0005-0000-0000-000038000000}"/>
    <cellStyle name="Excel Built-in Calculation 2" xfId="58" xr:uid="{00000000-0005-0000-0000-000039000000}"/>
    <cellStyle name="Excel Built-in Check Cell" xfId="59" xr:uid="{00000000-0005-0000-0000-00003A000000}"/>
    <cellStyle name="Excel Built-in Comma" xfId="60" xr:uid="{00000000-0005-0000-0000-00003B000000}"/>
    <cellStyle name="Excel Built-in Currency" xfId="61" xr:uid="{00000000-0005-0000-0000-00003C000000}"/>
    <cellStyle name="Excel Built-in Explanatory Text" xfId="62" xr:uid="{00000000-0005-0000-0000-00003D000000}"/>
    <cellStyle name="Excel Built-in Good" xfId="63" xr:uid="{00000000-0005-0000-0000-00003E000000}"/>
    <cellStyle name="Excel Built-in Heading 1" xfId="64" xr:uid="{00000000-0005-0000-0000-00003F000000}"/>
    <cellStyle name="Excel Built-in Heading 2" xfId="65" xr:uid="{00000000-0005-0000-0000-000040000000}"/>
    <cellStyle name="Excel Built-in Heading 3" xfId="66" xr:uid="{00000000-0005-0000-0000-000041000000}"/>
    <cellStyle name="Excel Built-in Heading 4" xfId="67" xr:uid="{00000000-0005-0000-0000-000042000000}"/>
    <cellStyle name="Excel Built-in Input" xfId="68" xr:uid="{00000000-0005-0000-0000-000043000000}"/>
    <cellStyle name="Excel Built-in Input 2" xfId="69" xr:uid="{00000000-0005-0000-0000-000044000000}"/>
    <cellStyle name="Excel Built-in Linked Cell" xfId="70" xr:uid="{00000000-0005-0000-0000-000045000000}"/>
    <cellStyle name="Excel Built-in Neutral" xfId="71" xr:uid="{00000000-0005-0000-0000-000046000000}"/>
    <cellStyle name="Excel Built-in Normal" xfId="72" xr:uid="{00000000-0005-0000-0000-000047000000}"/>
    <cellStyle name="Excel Built-in Normal 1" xfId="73" xr:uid="{00000000-0005-0000-0000-000048000000}"/>
    <cellStyle name="Excel Built-in Normal 1 2" xfId="74" xr:uid="{00000000-0005-0000-0000-000049000000}"/>
    <cellStyle name="Excel Built-in Normal 1 3" xfId="75" xr:uid="{00000000-0005-0000-0000-00004A000000}"/>
    <cellStyle name="Excel Built-in Normal 2" xfId="76" xr:uid="{00000000-0005-0000-0000-00004B000000}"/>
    <cellStyle name="Excel Built-in Normal 2 2" xfId="77" xr:uid="{00000000-0005-0000-0000-00004C000000}"/>
    <cellStyle name="Excel Built-in Normal 2 3" xfId="78" xr:uid="{00000000-0005-0000-0000-00004D000000}"/>
    <cellStyle name="Excel Built-in Normal 3" xfId="79" xr:uid="{00000000-0005-0000-0000-00004E000000}"/>
    <cellStyle name="Excel Built-in Normal 4" xfId="80" xr:uid="{00000000-0005-0000-0000-00004F000000}"/>
    <cellStyle name="Excel Built-in Normal 5" xfId="81" xr:uid="{00000000-0005-0000-0000-000050000000}"/>
    <cellStyle name="Excel Built-in Normal 6" xfId="177" xr:uid="{B37039D5-AE32-47D2-8BA1-14CD4C36F1EE}"/>
    <cellStyle name="Excel Built-in Note" xfId="82" xr:uid="{00000000-0005-0000-0000-000051000000}"/>
    <cellStyle name="Excel Built-in Note 2" xfId="83" xr:uid="{00000000-0005-0000-0000-000052000000}"/>
    <cellStyle name="Excel Built-in Output" xfId="84" xr:uid="{00000000-0005-0000-0000-000053000000}"/>
    <cellStyle name="Excel Built-in Output 2" xfId="85" xr:uid="{00000000-0005-0000-0000-000054000000}"/>
    <cellStyle name="Excel Built-in Title" xfId="86" xr:uid="{00000000-0005-0000-0000-000055000000}"/>
    <cellStyle name="Excel Built-in Total" xfId="87" xr:uid="{00000000-0005-0000-0000-000056000000}"/>
    <cellStyle name="Excel Built-in Total 2" xfId="88" xr:uid="{00000000-0005-0000-0000-000057000000}"/>
    <cellStyle name="Excel Built-in Warning Text" xfId="89" xr:uid="{00000000-0005-0000-0000-000058000000}"/>
    <cellStyle name="Hipervínculo" xfId="90" builtinId="8"/>
    <cellStyle name="Hipervínculo 2" xfId="91" xr:uid="{00000000-0005-0000-0000-00005A000000}"/>
    <cellStyle name="Hipervínculo 2 2" xfId="92" xr:uid="{00000000-0005-0000-0000-00005B000000}"/>
    <cellStyle name="Incorrecto" xfId="93" builtinId="27" customBuiltin="1"/>
    <cellStyle name="Millares" xfId="94" builtinId="3"/>
    <cellStyle name="Millares [0]" xfId="178" builtinId="6"/>
    <cellStyle name="Millares [0] 2" xfId="176" xr:uid="{B7884D7E-2F9A-48F7-840A-8EB673B9C702}"/>
    <cellStyle name="Millares 10" xfId="95" xr:uid="{00000000-0005-0000-0000-00005E000000}"/>
    <cellStyle name="Millares 10 2" xfId="96" xr:uid="{00000000-0005-0000-0000-00005F000000}"/>
    <cellStyle name="Millares 11" xfId="97" xr:uid="{00000000-0005-0000-0000-000060000000}"/>
    <cellStyle name="Millares 2" xfId="98" xr:uid="{00000000-0005-0000-0000-000061000000}"/>
    <cellStyle name="Millares 2 10" xfId="99" xr:uid="{00000000-0005-0000-0000-000062000000}"/>
    <cellStyle name="Millares 2 2" xfId="100" xr:uid="{00000000-0005-0000-0000-000063000000}"/>
    <cellStyle name="Millares 2 2 2" xfId="101" xr:uid="{00000000-0005-0000-0000-000064000000}"/>
    <cellStyle name="Millares 2 2 3" xfId="102" xr:uid="{00000000-0005-0000-0000-000065000000}"/>
    <cellStyle name="Millares 2 2 4" xfId="103" xr:uid="{00000000-0005-0000-0000-000066000000}"/>
    <cellStyle name="Millares 2 2 5" xfId="104" xr:uid="{00000000-0005-0000-0000-000067000000}"/>
    <cellStyle name="Millares 2 3" xfId="105" xr:uid="{00000000-0005-0000-0000-000068000000}"/>
    <cellStyle name="Millares 2 3 2" xfId="106" xr:uid="{00000000-0005-0000-0000-000069000000}"/>
    <cellStyle name="Millares 2 4" xfId="107" xr:uid="{00000000-0005-0000-0000-00006A000000}"/>
    <cellStyle name="Millares 2 5" xfId="108" xr:uid="{00000000-0005-0000-0000-00006B000000}"/>
    <cellStyle name="Millares 2 6" xfId="109" xr:uid="{00000000-0005-0000-0000-00006C000000}"/>
    <cellStyle name="Millares 2 7" xfId="110" xr:uid="{00000000-0005-0000-0000-00006D000000}"/>
    <cellStyle name="Millares 2 8" xfId="111" xr:uid="{00000000-0005-0000-0000-00006E000000}"/>
    <cellStyle name="Millares 2 9" xfId="112" xr:uid="{00000000-0005-0000-0000-00006F000000}"/>
    <cellStyle name="Millares 3" xfId="113" xr:uid="{00000000-0005-0000-0000-000070000000}"/>
    <cellStyle name="Millares 3 2" xfId="114" xr:uid="{00000000-0005-0000-0000-000071000000}"/>
    <cellStyle name="Millares 3 3" xfId="115" xr:uid="{00000000-0005-0000-0000-000072000000}"/>
    <cellStyle name="Millares 3 4" xfId="116" xr:uid="{00000000-0005-0000-0000-000073000000}"/>
    <cellStyle name="Millares 3 5" xfId="117" xr:uid="{00000000-0005-0000-0000-000074000000}"/>
    <cellStyle name="Millares 30" xfId="118" xr:uid="{00000000-0005-0000-0000-000075000000}"/>
    <cellStyle name="Millares 4" xfId="119" xr:uid="{00000000-0005-0000-0000-000076000000}"/>
    <cellStyle name="Millares 4 2" xfId="120" xr:uid="{00000000-0005-0000-0000-000077000000}"/>
    <cellStyle name="Millares 5" xfId="121" xr:uid="{00000000-0005-0000-0000-000078000000}"/>
    <cellStyle name="Millares 6" xfId="122" xr:uid="{00000000-0005-0000-0000-000079000000}"/>
    <cellStyle name="Millares 7" xfId="123" xr:uid="{00000000-0005-0000-0000-00007A000000}"/>
    <cellStyle name="Millares 8" xfId="124" xr:uid="{00000000-0005-0000-0000-00007B000000}"/>
    <cellStyle name="Moneda 2" xfId="125" xr:uid="{00000000-0005-0000-0000-00007C000000}"/>
    <cellStyle name="Moneda 2 2" xfId="126" xr:uid="{00000000-0005-0000-0000-00007D000000}"/>
    <cellStyle name="Moneda 2 3" xfId="127" xr:uid="{00000000-0005-0000-0000-00007E000000}"/>
    <cellStyle name="Moneda 3" xfId="128" xr:uid="{00000000-0005-0000-0000-00007F000000}"/>
    <cellStyle name="Moneda 4" xfId="129" xr:uid="{00000000-0005-0000-0000-000080000000}"/>
    <cellStyle name="Moneda 5" xfId="130" xr:uid="{00000000-0005-0000-0000-000081000000}"/>
    <cellStyle name="Neutral" xfId="131" builtinId="28" customBuiltin="1"/>
    <cellStyle name="No-definido" xfId="132" xr:uid="{00000000-0005-0000-0000-000083000000}"/>
    <cellStyle name="Normal" xfId="0" builtinId="0"/>
    <cellStyle name="Normal 11" xfId="133" xr:uid="{00000000-0005-0000-0000-000085000000}"/>
    <cellStyle name="Normal 12" xfId="134" xr:uid="{00000000-0005-0000-0000-000086000000}"/>
    <cellStyle name="Normal 2" xfId="135" xr:uid="{00000000-0005-0000-0000-000087000000}"/>
    <cellStyle name="Normal 2 2" xfId="136" xr:uid="{00000000-0005-0000-0000-000088000000}"/>
    <cellStyle name="Normal 2 3" xfId="137" xr:uid="{00000000-0005-0000-0000-000089000000}"/>
    <cellStyle name="Normal 2 4" xfId="138" xr:uid="{00000000-0005-0000-0000-00008A000000}"/>
    <cellStyle name="Normal 2 5" xfId="139" xr:uid="{00000000-0005-0000-0000-00008B000000}"/>
    <cellStyle name="Normal 3" xfId="140" xr:uid="{00000000-0005-0000-0000-00008C000000}"/>
    <cellStyle name="Normal 3 2" xfId="141" xr:uid="{00000000-0005-0000-0000-00008D000000}"/>
    <cellStyle name="Normal 3 3" xfId="142" xr:uid="{00000000-0005-0000-0000-00008E000000}"/>
    <cellStyle name="Normal 3 4" xfId="143" xr:uid="{00000000-0005-0000-0000-00008F000000}"/>
    <cellStyle name="Normal 3 5" xfId="144" xr:uid="{00000000-0005-0000-0000-000090000000}"/>
    <cellStyle name="Normal 3 6" xfId="145" xr:uid="{00000000-0005-0000-0000-000091000000}"/>
    <cellStyle name="Normal 3 7" xfId="146" xr:uid="{00000000-0005-0000-0000-000092000000}"/>
    <cellStyle name="Normal 33" xfId="147" xr:uid="{00000000-0005-0000-0000-000093000000}"/>
    <cellStyle name="Normal 4" xfId="148" xr:uid="{00000000-0005-0000-0000-000094000000}"/>
    <cellStyle name="Normal 4 2" xfId="149" xr:uid="{00000000-0005-0000-0000-000095000000}"/>
    <cellStyle name="Normal 4 2 2" xfId="150" xr:uid="{00000000-0005-0000-0000-000096000000}"/>
    <cellStyle name="Normal 4 3" xfId="151" xr:uid="{00000000-0005-0000-0000-000097000000}"/>
    <cellStyle name="Normal 5" xfId="152" xr:uid="{00000000-0005-0000-0000-000098000000}"/>
    <cellStyle name="Normal 6" xfId="153" xr:uid="{00000000-0005-0000-0000-000099000000}"/>
    <cellStyle name="Normal 6 2" xfId="154" xr:uid="{00000000-0005-0000-0000-00009A000000}"/>
    <cellStyle name="Notas 2" xfId="155" xr:uid="{00000000-0005-0000-0000-00009B000000}"/>
    <cellStyle name="Notas 2 2" xfId="156" xr:uid="{00000000-0005-0000-0000-00009C000000}"/>
    <cellStyle name="Notas 3" xfId="157" xr:uid="{00000000-0005-0000-0000-00009D000000}"/>
    <cellStyle name="Notas 3 2" xfId="158" xr:uid="{00000000-0005-0000-0000-00009E000000}"/>
    <cellStyle name="Notas 4" xfId="159" xr:uid="{00000000-0005-0000-0000-00009F000000}"/>
    <cellStyle name="Notas 4 2" xfId="160" xr:uid="{00000000-0005-0000-0000-0000A0000000}"/>
    <cellStyle name="Notas 5" xfId="161" xr:uid="{00000000-0005-0000-0000-0000A1000000}"/>
    <cellStyle name="Porcentaje" xfId="162" builtinId="5"/>
    <cellStyle name="Porcentaje 2" xfId="163" xr:uid="{00000000-0005-0000-0000-0000A3000000}"/>
    <cellStyle name="Porcentaje 2 2" xfId="164" xr:uid="{00000000-0005-0000-0000-0000A4000000}"/>
    <cellStyle name="Porcentaje 3" xfId="165" xr:uid="{00000000-0005-0000-0000-0000A5000000}"/>
    <cellStyle name="Porcentaje 4" xfId="166" xr:uid="{00000000-0005-0000-0000-0000A6000000}"/>
    <cellStyle name="Porcentual 2" xfId="167" xr:uid="{00000000-0005-0000-0000-0000A7000000}"/>
    <cellStyle name="Salida" xfId="168" builtinId="21" customBuiltin="1"/>
    <cellStyle name="Texto de advertencia" xfId="169" builtinId="11" customBuiltin="1"/>
    <cellStyle name="Texto explicativo" xfId="170" builtinId="53" customBuiltin="1"/>
    <cellStyle name="Título" xfId="171" builtinId="15" customBuiltin="1"/>
    <cellStyle name="Título 2" xfId="173" builtinId="17" customBuiltin="1"/>
    <cellStyle name="Título 3" xfId="174" builtinId="18" customBuiltin="1"/>
    <cellStyle name="Total" xfId="17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472A.87E884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733426</xdr:colOff>
      <xdr:row>4</xdr:row>
      <xdr:rowOff>0</xdr:rowOff>
    </xdr:from>
    <xdr:to>
      <xdr:col>19</xdr:col>
      <xdr:colOff>1</xdr:colOff>
      <xdr:row>8</xdr:row>
      <xdr:rowOff>5374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B42FF5F8-AABB-4E09-B613-5A66978E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2276" y="304800"/>
          <a:ext cx="819150" cy="853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C1:V71"/>
  <sheetViews>
    <sheetView tabSelected="1" topLeftCell="D35" zoomScaleNormal="100" workbookViewId="0">
      <selection activeCell="W52" sqref="W52"/>
    </sheetView>
  </sheetViews>
  <sheetFormatPr baseColWidth="10" defaultColWidth="11.42578125" defaultRowHeight="15"/>
  <cols>
    <col min="1" max="2" width="0" hidden="1" customWidth="1"/>
    <col min="3" max="3" width="11.42578125" hidden="1" customWidth="1"/>
    <col min="4" max="5" width="11.42578125" customWidth="1"/>
    <col min="6" max="6" width="1.5703125" customWidth="1"/>
    <col min="7" max="7" width="5.7109375" customWidth="1"/>
    <col min="8" max="8" width="17.42578125" customWidth="1"/>
    <col min="9" max="9" width="7.28515625" customWidth="1"/>
    <col min="10" max="10" width="18" customWidth="1"/>
    <col min="11" max="11" width="6" customWidth="1"/>
    <col min="14" max="14" width="19.42578125" customWidth="1"/>
    <col min="15" max="15" width="5.140625" customWidth="1"/>
    <col min="16" max="16" width="20.42578125" customWidth="1"/>
    <col min="17" max="17" width="1" customWidth="1"/>
    <col min="18" max="18" width="17.7109375" customWidth="1"/>
    <col min="19" max="19" width="5.5703125" customWidth="1"/>
    <col min="20" max="20" width="3.7109375" customWidth="1"/>
  </cols>
  <sheetData>
    <row r="1" spans="4:22" hidden="1">
      <c r="U1" s="19"/>
      <c r="V1" s="19"/>
    </row>
    <row r="2" spans="4:22" hidden="1">
      <c r="U2" s="19"/>
      <c r="V2" s="19"/>
    </row>
    <row r="3" spans="4:22"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4:22" ht="9" customHeight="1">
      <c r="D4" s="19"/>
      <c r="E4" s="19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19"/>
      <c r="V4" s="19"/>
    </row>
    <row r="5" spans="4:22" ht="15" customHeight="1">
      <c r="D5" s="19"/>
      <c r="E5" s="19"/>
      <c r="F5" s="34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T5" s="34"/>
      <c r="U5" s="19"/>
      <c r="V5" s="19"/>
    </row>
    <row r="6" spans="4:22" ht="15" customHeight="1">
      <c r="D6" s="19"/>
      <c r="E6" s="19"/>
      <c r="F6" s="34"/>
      <c r="G6" s="30"/>
      <c r="H6" s="30"/>
      <c r="I6" s="30"/>
      <c r="J6" s="37" t="s">
        <v>347</v>
      </c>
      <c r="K6" s="37"/>
      <c r="L6" s="37"/>
      <c r="M6" s="37"/>
      <c r="N6" s="37"/>
      <c r="O6" s="37"/>
      <c r="P6" s="30"/>
      <c r="Q6" s="30"/>
      <c r="R6" s="30"/>
      <c r="T6" s="34"/>
      <c r="U6" s="19"/>
      <c r="V6" s="19"/>
    </row>
    <row r="7" spans="4:22" ht="15" customHeight="1">
      <c r="D7" s="19"/>
      <c r="E7" s="19"/>
      <c r="F7" s="34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T7" s="34"/>
      <c r="U7" s="19"/>
      <c r="V7" s="19"/>
    </row>
    <row r="8" spans="4:22" ht="21.75" thickBot="1">
      <c r="D8" s="19"/>
      <c r="E8" s="19"/>
      <c r="F8" s="34"/>
      <c r="G8" s="42" t="s">
        <v>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34"/>
      <c r="U8" s="19"/>
      <c r="V8" s="19"/>
    </row>
    <row r="9" spans="4:22" ht="18.75" thickTop="1">
      <c r="D9" s="19"/>
      <c r="E9" s="19"/>
      <c r="F9" s="34"/>
      <c r="G9" s="15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20"/>
      <c r="T9" s="34"/>
      <c r="U9" s="19"/>
    </row>
    <row r="10" spans="4:22" ht="21" customHeight="1" thickBot="1">
      <c r="D10" s="19"/>
      <c r="E10" s="19"/>
      <c r="F10" s="34"/>
      <c r="G10" s="15"/>
      <c r="H10" s="20" t="s">
        <v>1</v>
      </c>
      <c r="I10" s="38" t="s">
        <v>263</v>
      </c>
      <c r="J10" s="39"/>
      <c r="K10" s="39"/>
      <c r="L10" s="39"/>
      <c r="M10" s="16"/>
      <c r="N10" s="16"/>
      <c r="O10" s="16"/>
      <c r="P10" s="21" t="s">
        <v>3</v>
      </c>
      <c r="Q10" s="22"/>
      <c r="R10" s="14">
        <f ca="1">TODAY()</f>
        <v>46134</v>
      </c>
      <c r="S10" s="20"/>
      <c r="T10" s="34"/>
      <c r="U10" s="19"/>
    </row>
    <row r="11" spans="4:22" ht="15.75" customHeight="1" thickTop="1">
      <c r="D11" s="19"/>
      <c r="E11" s="19"/>
      <c r="F11" s="34"/>
      <c r="G11" s="15"/>
      <c r="H11" s="15"/>
      <c r="I11" s="15"/>
      <c r="J11" s="15"/>
      <c r="K11" s="15"/>
      <c r="L11" s="16"/>
      <c r="M11" s="16"/>
      <c r="N11" s="16"/>
      <c r="O11" s="16"/>
      <c r="P11" s="16"/>
      <c r="Q11" s="16"/>
      <c r="R11" s="16"/>
      <c r="S11" s="20"/>
      <c r="T11" s="34"/>
      <c r="U11" s="19"/>
    </row>
    <row r="12" spans="4:22" ht="21" customHeight="1" thickBot="1">
      <c r="D12" s="19"/>
      <c r="E12" s="19"/>
      <c r="F12" s="34"/>
      <c r="G12" s="15"/>
      <c r="H12" s="20" t="s">
        <v>4</v>
      </c>
      <c r="I12" s="20"/>
      <c r="J12" s="38" t="s">
        <v>348</v>
      </c>
      <c r="K12" s="39"/>
      <c r="L12" s="39"/>
      <c r="M12" s="39"/>
      <c r="N12" s="39"/>
      <c r="O12" s="39"/>
      <c r="P12" s="39"/>
      <c r="Q12" s="39"/>
      <c r="R12" s="39"/>
      <c r="S12" s="20"/>
      <c r="T12" s="34"/>
      <c r="U12" s="19"/>
    </row>
    <row r="13" spans="4:22" ht="15.75" customHeight="1" thickTop="1">
      <c r="D13" s="19"/>
      <c r="E13" s="19"/>
      <c r="F13" s="34"/>
      <c r="G13" s="15"/>
      <c r="H13" s="20"/>
      <c r="I13" s="20"/>
      <c r="J13" s="20"/>
      <c r="K13" s="20"/>
      <c r="L13" s="17"/>
      <c r="M13" s="16"/>
      <c r="N13" s="16"/>
      <c r="O13" s="16"/>
      <c r="P13" s="16"/>
      <c r="Q13" s="16"/>
      <c r="R13" s="16"/>
      <c r="S13" s="20"/>
      <c r="T13" s="34"/>
      <c r="U13" s="19"/>
    </row>
    <row r="14" spans="4:22" ht="21" customHeight="1" thickBot="1">
      <c r="D14" s="19"/>
      <c r="E14" s="19"/>
      <c r="F14" s="34"/>
      <c r="G14" s="15"/>
      <c r="H14" s="20" t="s">
        <v>5</v>
      </c>
      <c r="I14" s="20"/>
      <c r="J14" s="38" t="s">
        <v>93</v>
      </c>
      <c r="K14" s="39"/>
      <c r="L14" s="39"/>
      <c r="M14" s="39"/>
      <c r="N14" s="39"/>
      <c r="O14" s="39"/>
      <c r="P14" s="39"/>
      <c r="Q14" s="39"/>
      <c r="R14" s="39"/>
      <c r="S14" s="20"/>
      <c r="T14" s="34"/>
      <c r="U14" s="19"/>
    </row>
    <row r="15" spans="4:22" ht="15.75" customHeight="1" thickTop="1">
      <c r="D15" s="19"/>
      <c r="E15" s="19"/>
      <c r="F15" s="34"/>
      <c r="G15" s="15"/>
      <c r="H15" s="20"/>
      <c r="I15" s="20"/>
      <c r="J15" s="20"/>
      <c r="K15" s="20"/>
      <c r="L15" s="17"/>
      <c r="M15" s="16"/>
      <c r="N15" s="16"/>
      <c r="O15" s="16"/>
      <c r="P15" s="16"/>
      <c r="Q15" s="16"/>
      <c r="R15" s="16"/>
      <c r="S15" s="20"/>
      <c r="T15" s="34"/>
      <c r="U15" s="19"/>
    </row>
    <row r="16" spans="4:22" ht="21" customHeight="1" thickBot="1">
      <c r="D16" s="19"/>
      <c r="E16" s="19"/>
      <c r="F16" s="34"/>
      <c r="G16" s="15"/>
      <c r="H16" s="20" t="s">
        <v>6</v>
      </c>
      <c r="I16" s="20"/>
      <c r="J16" s="38" t="s">
        <v>49</v>
      </c>
      <c r="K16" s="39"/>
      <c r="L16" s="39"/>
      <c r="M16" s="39"/>
      <c r="N16" s="39"/>
      <c r="O16" s="39"/>
      <c r="P16" s="39"/>
      <c r="Q16" s="39"/>
      <c r="R16" s="39"/>
      <c r="S16" s="20"/>
      <c r="T16" s="34"/>
      <c r="U16" s="19"/>
    </row>
    <row r="17" spans="4:22" ht="15.75" customHeight="1" thickTop="1">
      <c r="D17" s="19"/>
      <c r="E17" s="19"/>
      <c r="F17" s="34"/>
      <c r="G17" s="1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20"/>
      <c r="T17" s="34"/>
      <c r="U17" s="19"/>
    </row>
    <row r="18" spans="4:22" ht="21.75" thickBot="1">
      <c r="D18" s="19"/>
      <c r="E18" s="19"/>
      <c r="F18" s="34"/>
      <c r="G18" s="42" t="s">
        <v>7</v>
      </c>
      <c r="H18" s="42" t="s">
        <v>7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34"/>
      <c r="U18" s="19"/>
      <c r="V18" s="19"/>
    </row>
    <row r="19" spans="4:22" ht="15.75" customHeight="1" thickTop="1">
      <c r="D19" s="19"/>
      <c r="E19" s="19"/>
      <c r="F19" s="34"/>
      <c r="G19" s="15"/>
      <c r="H19" s="16"/>
      <c r="I19" s="16"/>
      <c r="J19" s="16"/>
      <c r="K19" s="16"/>
      <c r="L19" s="16"/>
      <c r="M19" s="23"/>
      <c r="N19" s="23"/>
      <c r="O19" s="23"/>
      <c r="P19" s="23"/>
      <c r="Q19" s="23"/>
      <c r="R19" s="23"/>
      <c r="S19" s="20"/>
      <c r="T19" s="34"/>
      <c r="U19" s="19"/>
      <c r="V19" s="19"/>
    </row>
    <row r="20" spans="4:22" ht="21" customHeight="1" thickBot="1">
      <c r="D20" s="19"/>
      <c r="E20" s="19"/>
      <c r="F20" s="34"/>
      <c r="G20" s="15"/>
      <c r="H20" s="20" t="s">
        <v>8</v>
      </c>
      <c r="I20" s="38" t="s">
        <v>350</v>
      </c>
      <c r="J20" s="39"/>
      <c r="K20" s="39"/>
      <c r="L20" s="39"/>
      <c r="M20" s="39"/>
      <c r="N20" s="39"/>
      <c r="O20" s="39"/>
      <c r="P20" s="39"/>
      <c r="Q20" s="39"/>
      <c r="R20" s="39"/>
      <c r="S20" s="20"/>
      <c r="T20" s="34"/>
      <c r="U20" s="19"/>
      <c r="V20" s="19"/>
    </row>
    <row r="21" spans="4:22" ht="15.75" customHeight="1" thickTop="1">
      <c r="D21" s="19"/>
      <c r="E21" s="19"/>
      <c r="F21" s="34"/>
      <c r="G21" s="15"/>
      <c r="H21" s="17"/>
      <c r="I21" s="17"/>
      <c r="J21" s="17"/>
      <c r="K21" s="17"/>
      <c r="L21" s="17"/>
      <c r="M21" s="20"/>
      <c r="N21" s="27"/>
      <c r="O21" s="20"/>
      <c r="P21" s="20"/>
      <c r="Q21" s="20"/>
      <c r="R21" s="23"/>
      <c r="S21" s="20"/>
      <c r="T21" s="34"/>
      <c r="U21" s="19"/>
      <c r="V21" s="19"/>
    </row>
    <row r="22" spans="4:22" ht="21" customHeight="1" thickBot="1">
      <c r="D22" s="19"/>
      <c r="E22" s="19"/>
      <c r="F22" s="34"/>
      <c r="G22" s="15"/>
      <c r="H22" s="20" t="s">
        <v>9</v>
      </c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20"/>
      <c r="T22" s="34"/>
      <c r="U22" s="19"/>
      <c r="V22" s="19"/>
    </row>
    <row r="23" spans="4:22" ht="15.75" customHeight="1" thickTop="1">
      <c r="D23" s="19"/>
      <c r="E23" s="19"/>
      <c r="F23" s="34"/>
      <c r="G23" s="15"/>
      <c r="H23" s="17"/>
      <c r="I23" s="17"/>
      <c r="J23" s="17"/>
      <c r="K23" s="17"/>
      <c r="L23" s="17"/>
      <c r="M23" s="20"/>
      <c r="N23" s="16"/>
      <c r="O23" s="16"/>
      <c r="P23" s="16"/>
      <c r="Q23" s="16"/>
      <c r="R23" s="16"/>
      <c r="S23" s="20"/>
      <c r="T23" s="34"/>
      <c r="U23" s="19"/>
      <c r="V23" s="19"/>
    </row>
    <row r="24" spans="4:22" ht="21" customHeight="1" thickBot="1">
      <c r="D24" s="19"/>
      <c r="E24" s="19"/>
      <c r="F24" s="34"/>
      <c r="G24" s="15"/>
      <c r="H24" s="20" t="s">
        <v>10</v>
      </c>
      <c r="I24" s="38"/>
      <c r="J24" s="39"/>
      <c r="K24" s="39"/>
      <c r="L24" s="39"/>
      <c r="M24" s="39"/>
      <c r="N24" s="23"/>
      <c r="O24" s="23" t="s">
        <v>11</v>
      </c>
      <c r="P24" s="38" t="s">
        <v>352</v>
      </c>
      <c r="Q24" s="39"/>
      <c r="R24" s="39"/>
      <c r="S24" s="20"/>
      <c r="T24" s="34"/>
      <c r="U24" s="19"/>
      <c r="V24" s="19"/>
    </row>
    <row r="25" spans="4:22" ht="15.75" customHeight="1" thickTop="1">
      <c r="D25" s="19"/>
      <c r="E25" s="19"/>
      <c r="F25" s="34"/>
      <c r="G25" s="15"/>
      <c r="H25" s="17"/>
      <c r="I25" s="17"/>
      <c r="J25" s="17"/>
      <c r="K25" s="17"/>
      <c r="L25" s="17"/>
      <c r="M25" s="20"/>
      <c r="N25" s="20"/>
      <c r="O25" s="20"/>
      <c r="P25" s="20"/>
      <c r="Q25" s="20"/>
      <c r="R25" s="23"/>
      <c r="S25" s="20"/>
      <c r="T25" s="34"/>
      <c r="U25" s="19"/>
      <c r="V25" s="19"/>
    </row>
    <row r="26" spans="4:22" ht="21" customHeight="1" thickBot="1">
      <c r="D26" s="19"/>
      <c r="E26" s="19"/>
      <c r="F26" s="34"/>
      <c r="G26" s="15"/>
      <c r="H26" s="20" t="s">
        <v>12</v>
      </c>
      <c r="I26" s="17"/>
      <c r="J26" s="47"/>
      <c r="K26" s="39"/>
      <c r="L26" s="39"/>
      <c r="M26" s="39"/>
      <c r="N26" s="39"/>
      <c r="O26" s="39"/>
      <c r="P26" s="39"/>
      <c r="Q26" s="39"/>
      <c r="R26" s="39"/>
      <c r="S26" s="20"/>
      <c r="T26" s="34"/>
      <c r="U26" s="19"/>
      <c r="V26" s="19"/>
    </row>
    <row r="27" spans="4:22" ht="15.75" customHeight="1" thickTop="1">
      <c r="D27" s="19"/>
      <c r="E27" s="19"/>
      <c r="F27" s="34"/>
      <c r="G27" s="15"/>
      <c r="H27" s="17"/>
      <c r="I27" s="17"/>
      <c r="J27" s="17"/>
      <c r="K27" s="17"/>
      <c r="L27" s="18"/>
      <c r="M27" s="20"/>
      <c r="N27" s="20"/>
      <c r="O27" s="20"/>
      <c r="P27" s="20"/>
      <c r="Q27" s="20"/>
      <c r="R27" s="23"/>
      <c r="S27" s="20"/>
      <c r="T27" s="34"/>
      <c r="U27" s="19"/>
      <c r="V27" s="19"/>
    </row>
    <row r="28" spans="4:22" ht="21" customHeight="1" thickBot="1">
      <c r="D28" s="19"/>
      <c r="E28" s="19"/>
      <c r="F28" s="34"/>
      <c r="G28" s="15"/>
      <c r="H28" s="20" t="s">
        <v>13</v>
      </c>
      <c r="I28" s="51" t="s">
        <v>351</v>
      </c>
      <c r="J28" s="52"/>
      <c r="K28" s="52"/>
      <c r="L28" s="52"/>
      <c r="M28" s="52"/>
      <c r="N28" s="16"/>
      <c r="O28" s="20"/>
      <c r="P28" s="20" t="s">
        <v>14</v>
      </c>
      <c r="Q28" s="38" t="s">
        <v>65</v>
      </c>
      <c r="R28" s="39"/>
      <c r="S28" s="20"/>
      <c r="T28" s="34"/>
      <c r="U28" s="19"/>
      <c r="V28" s="19"/>
    </row>
    <row r="29" spans="4:22" ht="15.75" customHeight="1" thickTop="1">
      <c r="D29" s="19"/>
      <c r="E29" s="19"/>
      <c r="F29" s="34"/>
      <c r="G29" s="15"/>
      <c r="H29" s="16"/>
      <c r="I29" s="16"/>
      <c r="J29" s="16"/>
      <c r="K29" s="16"/>
      <c r="L29" s="16"/>
      <c r="M29" s="23"/>
      <c r="N29" s="23"/>
      <c r="O29" s="23"/>
      <c r="P29" s="23"/>
      <c r="Q29" s="23"/>
      <c r="R29" s="23"/>
      <c r="S29" s="20"/>
      <c r="T29" s="34"/>
      <c r="U29" s="19"/>
      <c r="V29" s="19"/>
    </row>
    <row r="30" spans="4:22" ht="21" customHeight="1" thickBot="1">
      <c r="D30" s="19"/>
      <c r="E30" s="19"/>
      <c r="F30" s="34"/>
      <c r="G30" s="15"/>
      <c r="H30" s="20" t="s">
        <v>15</v>
      </c>
      <c r="I30" s="38" t="s">
        <v>76</v>
      </c>
      <c r="J30" s="39"/>
      <c r="K30" s="39"/>
      <c r="L30" s="23"/>
      <c r="M30" s="23"/>
      <c r="N30" s="23"/>
      <c r="O30" s="27" t="s">
        <v>16</v>
      </c>
      <c r="P30" s="38" t="s">
        <v>295</v>
      </c>
      <c r="Q30" s="39"/>
      <c r="R30" s="39"/>
      <c r="S30" s="20"/>
      <c r="T30" s="34"/>
      <c r="U30" s="19"/>
      <c r="V30" s="19"/>
    </row>
    <row r="31" spans="4:22" ht="15.75" customHeight="1" thickTop="1">
      <c r="D31" s="19"/>
      <c r="E31" s="19"/>
      <c r="F31" s="34"/>
      <c r="G31" s="16"/>
      <c r="H31" s="16"/>
      <c r="I31" s="16"/>
      <c r="J31" s="16"/>
      <c r="K31" s="16"/>
      <c r="L31" s="16"/>
      <c r="M31" s="23"/>
      <c r="N31" s="23"/>
      <c r="O31" s="23"/>
      <c r="P31" s="23"/>
      <c r="Q31" s="23"/>
      <c r="R31" s="23"/>
      <c r="S31" s="20"/>
      <c r="T31" s="34"/>
      <c r="U31" s="19"/>
      <c r="V31" s="19"/>
    </row>
    <row r="32" spans="4:22" ht="21.75" thickBot="1">
      <c r="D32" s="19"/>
      <c r="E32" s="19"/>
      <c r="F32" s="34"/>
      <c r="G32" s="42" t="s">
        <v>17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34"/>
      <c r="U32" s="19"/>
      <c r="V32" s="19"/>
    </row>
    <row r="33" spans="4:22" ht="15.75" customHeight="1" thickTop="1">
      <c r="D33" s="19"/>
      <c r="E33" s="19"/>
      <c r="F33" s="3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0"/>
      <c r="T33" s="34"/>
      <c r="U33" s="19"/>
      <c r="V33" s="19"/>
    </row>
    <row r="34" spans="4:22" ht="21" customHeight="1" thickBot="1">
      <c r="D34" s="19"/>
      <c r="E34" s="19"/>
      <c r="F34" s="34"/>
      <c r="G34" s="15"/>
      <c r="H34" s="20" t="s">
        <v>8</v>
      </c>
      <c r="I34" s="38" t="s">
        <v>348</v>
      </c>
      <c r="J34" s="39"/>
      <c r="K34" s="39"/>
      <c r="L34" s="39"/>
      <c r="M34" s="39"/>
      <c r="N34" s="39"/>
      <c r="O34" s="39"/>
      <c r="P34" s="27" t="s">
        <v>18</v>
      </c>
      <c r="Q34" s="48">
        <v>45550</v>
      </c>
      <c r="R34" s="49"/>
      <c r="S34" s="20"/>
      <c r="T34" s="34"/>
      <c r="U34" s="19"/>
      <c r="V34" s="19"/>
    </row>
    <row r="35" spans="4:22" ht="15.75" customHeight="1" thickTop="1">
      <c r="D35" s="19"/>
      <c r="E35" s="19"/>
      <c r="F35" s="34"/>
      <c r="G35" s="15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34"/>
      <c r="U35" s="19"/>
      <c r="V35" s="19"/>
    </row>
    <row r="36" spans="4:22" ht="21" customHeight="1" thickBot="1">
      <c r="D36" s="19"/>
      <c r="E36" s="19"/>
      <c r="F36" s="34"/>
      <c r="G36" s="15"/>
      <c r="H36" s="21" t="s">
        <v>19</v>
      </c>
      <c r="I36" s="38"/>
      <c r="J36" s="39"/>
      <c r="K36" s="39"/>
      <c r="L36" s="39"/>
      <c r="M36" s="40" t="s">
        <v>20</v>
      </c>
      <c r="N36" s="41"/>
      <c r="O36" s="38" t="s">
        <v>43</v>
      </c>
      <c r="P36" s="39"/>
      <c r="Q36" s="39"/>
      <c r="R36" s="39"/>
      <c r="S36" s="20"/>
      <c r="T36" s="34"/>
      <c r="U36" s="19"/>
      <c r="V36" s="19"/>
    </row>
    <row r="37" spans="4:22" ht="15.75" customHeight="1" thickTop="1">
      <c r="D37" s="19"/>
      <c r="E37" s="19"/>
      <c r="F37" s="34"/>
      <c r="G37" s="15"/>
      <c r="H37" s="20"/>
      <c r="I37" s="20"/>
      <c r="J37" s="20"/>
      <c r="K37" s="20"/>
      <c r="L37" s="20"/>
      <c r="M37" s="27"/>
      <c r="N37" s="27"/>
      <c r="O37" s="20"/>
      <c r="P37" s="20"/>
      <c r="Q37" s="20"/>
      <c r="R37" s="20"/>
      <c r="S37" s="20"/>
      <c r="T37" s="34"/>
      <c r="U37" s="19"/>
      <c r="V37" s="19"/>
    </row>
    <row r="38" spans="4:22" ht="21" customHeight="1" thickBot="1">
      <c r="D38" s="19"/>
      <c r="E38" s="19"/>
      <c r="F38" s="34"/>
      <c r="G38" s="15"/>
      <c r="H38" s="20" t="s">
        <v>21</v>
      </c>
      <c r="I38" s="38">
        <v>56995006161</v>
      </c>
      <c r="J38" s="39"/>
      <c r="K38" s="39"/>
      <c r="L38" s="39"/>
      <c r="M38" s="20"/>
      <c r="N38" s="20"/>
      <c r="O38" s="20"/>
      <c r="P38" s="27" t="s">
        <v>22</v>
      </c>
      <c r="Q38" s="38" t="s">
        <v>62</v>
      </c>
      <c r="R38" s="39"/>
      <c r="S38" s="20"/>
      <c r="T38" s="34"/>
      <c r="U38" s="19"/>
      <c r="V38" s="19"/>
    </row>
    <row r="39" spans="4:22" ht="15.75" customHeight="1" thickTop="1">
      <c r="D39" s="19"/>
      <c r="E39" s="19"/>
      <c r="F39" s="34"/>
      <c r="G39" s="15"/>
      <c r="H39" s="20"/>
      <c r="I39" s="20"/>
      <c r="J39" s="20"/>
      <c r="K39" s="20"/>
      <c r="L39" s="20"/>
      <c r="M39" s="20"/>
      <c r="N39" s="20"/>
      <c r="O39" s="20"/>
      <c r="P39" s="20"/>
      <c r="Q39" s="15"/>
      <c r="R39" s="20"/>
      <c r="S39" s="20"/>
      <c r="T39" s="34"/>
      <c r="U39" s="19"/>
      <c r="V39" s="19"/>
    </row>
    <row r="40" spans="4:22" ht="21" customHeight="1" thickBot="1">
      <c r="D40" s="19"/>
      <c r="E40" s="19"/>
      <c r="F40" s="34"/>
      <c r="G40" s="15"/>
      <c r="H40" s="20" t="s">
        <v>23</v>
      </c>
      <c r="I40" s="26"/>
      <c r="J40" s="40" t="s">
        <v>24</v>
      </c>
      <c r="K40" s="41"/>
      <c r="L40" s="50">
        <v>880</v>
      </c>
      <c r="M40" s="39"/>
      <c r="N40" s="27" t="s">
        <v>25</v>
      </c>
      <c r="O40" s="43">
        <v>199</v>
      </c>
      <c r="P40" s="44"/>
      <c r="Q40" s="44"/>
      <c r="R40" s="44"/>
      <c r="S40" s="20"/>
      <c r="T40" s="34"/>
      <c r="U40" s="19"/>
      <c r="V40" s="19"/>
    </row>
    <row r="41" spans="4:22" ht="15.75" customHeight="1" thickTop="1">
      <c r="D41" s="19"/>
      <c r="E41" s="19"/>
      <c r="F41" s="34"/>
      <c r="G41" s="15"/>
      <c r="H41" s="23"/>
      <c r="I41" s="23"/>
      <c r="J41" s="20"/>
      <c r="K41" s="23"/>
      <c r="L41" s="23"/>
      <c r="M41" s="23"/>
      <c r="N41" s="23"/>
      <c r="O41" s="23"/>
      <c r="P41" s="23"/>
      <c r="Q41" s="23"/>
      <c r="R41" s="23"/>
      <c r="S41" s="20"/>
      <c r="T41" s="34"/>
      <c r="U41" s="19"/>
      <c r="V41" s="19"/>
    </row>
    <row r="42" spans="4:22" ht="21.75" thickBot="1">
      <c r="D42" s="19"/>
      <c r="E42" s="19"/>
      <c r="F42" s="34"/>
      <c r="G42" s="42" t="s">
        <v>26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34"/>
      <c r="U42" s="19"/>
      <c r="V42" s="19"/>
    </row>
    <row r="43" spans="4:22" ht="10.5" customHeight="1" thickTop="1">
      <c r="D43" s="19"/>
      <c r="E43" s="19"/>
      <c r="F43" s="34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34"/>
      <c r="U43" s="19"/>
      <c r="V43" s="19"/>
    </row>
    <row r="44" spans="4:22" ht="18">
      <c r="D44" s="19"/>
      <c r="E44" s="19"/>
      <c r="F44" s="34"/>
      <c r="G44" s="20"/>
      <c r="H44" s="20" t="s">
        <v>27</v>
      </c>
      <c r="I44" s="20"/>
      <c r="J44" s="20"/>
      <c r="K44" s="20"/>
      <c r="L44" s="20" t="s">
        <v>28</v>
      </c>
      <c r="M44" s="20"/>
      <c r="N44" s="20"/>
      <c r="O44" s="20"/>
      <c r="P44" s="20" t="s">
        <v>29</v>
      </c>
      <c r="Q44" s="20"/>
      <c r="R44" s="20" t="s">
        <v>30</v>
      </c>
      <c r="S44" s="20"/>
      <c r="T44" s="34"/>
      <c r="U44" s="19"/>
      <c r="V44" s="19"/>
    </row>
    <row r="45" spans="4:22" ht="26.25" customHeight="1" thickBot="1">
      <c r="D45" s="19"/>
      <c r="E45" s="19"/>
      <c r="F45" s="34"/>
      <c r="G45" s="20"/>
      <c r="H45" s="38" t="s">
        <v>160</v>
      </c>
      <c r="I45" s="39"/>
      <c r="J45" s="39"/>
      <c r="K45" s="20"/>
      <c r="L45" s="45">
        <v>0.15</v>
      </c>
      <c r="M45" s="46"/>
      <c r="N45" s="46"/>
      <c r="O45" s="20"/>
      <c r="P45" s="73">
        <v>51920</v>
      </c>
      <c r="Q45" s="20"/>
      <c r="R45" s="25"/>
      <c r="S45" s="20"/>
      <c r="T45" s="34"/>
      <c r="U45" s="19"/>
      <c r="V45" s="19"/>
    </row>
    <row r="46" spans="4:22" ht="5.25" customHeight="1" thickTop="1">
      <c r="D46" s="19"/>
      <c r="E46" s="19"/>
      <c r="F46" s="34"/>
      <c r="G46" s="20"/>
      <c r="H46" s="20"/>
      <c r="I46" s="20"/>
      <c r="J46" s="20"/>
      <c r="K46" s="20"/>
      <c r="L46" s="20"/>
      <c r="M46" s="20"/>
      <c r="N46" s="20"/>
      <c r="O46" s="20"/>
      <c r="P46" s="33"/>
      <c r="Q46" s="20"/>
      <c r="R46" s="20"/>
      <c r="S46" s="20"/>
      <c r="T46" s="34"/>
      <c r="U46" s="19"/>
      <c r="V46" s="19"/>
    </row>
    <row r="47" spans="4:22" ht="26.25" customHeight="1" thickBot="1">
      <c r="D47" s="19"/>
      <c r="E47" s="19"/>
      <c r="F47" s="34"/>
      <c r="G47" s="20"/>
      <c r="H47" s="38"/>
      <c r="I47" s="39"/>
      <c r="J47" s="39"/>
      <c r="K47" s="20"/>
      <c r="L47" s="45">
        <v>0</v>
      </c>
      <c r="M47" s="46"/>
      <c r="N47" s="46"/>
      <c r="O47" s="20"/>
      <c r="P47" s="73">
        <v>87344</v>
      </c>
      <c r="Q47" s="20"/>
      <c r="R47" s="25"/>
      <c r="S47" s="20"/>
      <c r="T47" s="34"/>
      <c r="U47" s="19"/>
      <c r="V47" s="19"/>
    </row>
    <row r="48" spans="4:22" ht="5.25" customHeight="1" thickTop="1">
      <c r="D48" s="19"/>
      <c r="E48" s="19"/>
      <c r="F48" s="34"/>
      <c r="G48" s="20"/>
      <c r="H48" s="20"/>
      <c r="I48" s="20"/>
      <c r="J48" s="24"/>
      <c r="K48" s="20"/>
      <c r="L48" s="20"/>
      <c r="M48" s="20"/>
      <c r="N48" s="20"/>
      <c r="O48" s="20"/>
      <c r="P48" s="33"/>
      <c r="Q48" s="20"/>
      <c r="R48" s="20"/>
      <c r="S48" s="20"/>
      <c r="T48" s="34"/>
      <c r="U48" s="19"/>
      <c r="V48" s="19"/>
    </row>
    <row r="49" spans="4:22" ht="26.25" customHeight="1" thickBot="1">
      <c r="D49" s="19"/>
      <c r="E49" s="19"/>
      <c r="F49" s="34"/>
      <c r="G49" s="20"/>
      <c r="H49" s="38"/>
      <c r="I49" s="39"/>
      <c r="J49" s="39"/>
      <c r="K49" s="20"/>
      <c r="L49" s="45"/>
      <c r="M49" s="46"/>
      <c r="N49" s="46"/>
      <c r="O49" s="20"/>
      <c r="P49" s="73">
        <v>175120</v>
      </c>
      <c r="Q49" s="20"/>
      <c r="R49" s="25"/>
      <c r="S49" s="20"/>
      <c r="T49" s="34"/>
      <c r="U49" s="19"/>
      <c r="V49" s="19"/>
    </row>
    <row r="50" spans="4:22" ht="5.25" customHeight="1" thickTop="1">
      <c r="D50" s="19"/>
      <c r="E50" s="19"/>
      <c r="F50" s="34"/>
      <c r="G50" s="20"/>
      <c r="H50" s="20"/>
      <c r="I50" s="20"/>
      <c r="J50" s="20"/>
      <c r="K50" s="20"/>
      <c r="L50" s="20"/>
      <c r="M50" s="20"/>
      <c r="N50" s="20"/>
      <c r="O50" s="20"/>
      <c r="P50" s="33"/>
      <c r="Q50" s="20"/>
      <c r="R50" s="20"/>
      <c r="S50" s="20"/>
      <c r="T50" s="34"/>
      <c r="U50" s="19"/>
      <c r="V50" s="19"/>
    </row>
    <row r="51" spans="4:22" ht="26.25" customHeight="1" thickBot="1">
      <c r="D51" s="19"/>
      <c r="E51" s="19"/>
      <c r="F51" s="34"/>
      <c r="G51" s="20"/>
      <c r="H51" s="38"/>
      <c r="I51" s="39"/>
      <c r="J51" s="39"/>
      <c r="K51" s="20"/>
      <c r="L51" s="45"/>
      <c r="M51" s="46"/>
      <c r="N51" s="46"/>
      <c r="O51" s="20"/>
      <c r="P51" s="32">
        <f>($O$40/1.19)*L51</f>
        <v>0</v>
      </c>
      <c r="Q51" s="20"/>
      <c r="R51" s="25"/>
      <c r="S51" s="20"/>
      <c r="T51" s="34"/>
      <c r="U51" s="19"/>
      <c r="V51" s="19"/>
    </row>
    <row r="52" spans="4:22" ht="5.25" customHeight="1" thickTop="1">
      <c r="D52" s="19"/>
      <c r="E52" s="19"/>
      <c r="F52" s="34"/>
      <c r="G52" s="20"/>
      <c r="H52" s="20"/>
      <c r="I52" s="20"/>
      <c r="J52" s="20"/>
      <c r="K52" s="20"/>
      <c r="L52" s="20"/>
      <c r="M52" s="20"/>
      <c r="N52" s="20"/>
      <c r="O52" s="20"/>
      <c r="P52" s="33"/>
      <c r="Q52" s="20"/>
      <c r="R52" s="20"/>
      <c r="S52" s="20"/>
      <c r="T52" s="34"/>
      <c r="U52" s="19"/>
      <c r="V52" s="19"/>
    </row>
    <row r="53" spans="4:22" ht="26.25" customHeight="1" thickBot="1">
      <c r="D53" s="19"/>
      <c r="E53" s="19"/>
      <c r="F53" s="34"/>
      <c r="G53" s="20"/>
      <c r="H53" s="38"/>
      <c r="I53" s="39"/>
      <c r="J53" s="39"/>
      <c r="K53" s="20"/>
      <c r="L53" s="45"/>
      <c r="M53" s="46"/>
      <c r="N53" s="46"/>
      <c r="O53" s="20"/>
      <c r="P53" s="32">
        <f>($O$40/1.19)*L53</f>
        <v>0</v>
      </c>
      <c r="Q53" s="20"/>
      <c r="R53" s="25"/>
      <c r="S53" s="20"/>
      <c r="T53" s="34"/>
      <c r="U53" s="19"/>
      <c r="V53" s="19"/>
    </row>
    <row r="54" spans="4:22" ht="15.75" customHeight="1" thickTop="1">
      <c r="D54" s="19"/>
      <c r="E54" s="19"/>
      <c r="F54" s="34"/>
      <c r="G54" s="20"/>
      <c r="H54" s="20"/>
      <c r="I54" s="20"/>
      <c r="J54" s="20"/>
      <c r="K54" s="20"/>
      <c r="L54" s="20"/>
      <c r="M54" s="20"/>
      <c r="N54" s="20"/>
      <c r="O54" s="20"/>
      <c r="P54" s="24"/>
      <c r="Q54" s="20"/>
      <c r="R54" s="20"/>
      <c r="S54" s="20"/>
      <c r="T54" s="34"/>
      <c r="U54" s="19"/>
      <c r="V54" s="19"/>
    </row>
    <row r="55" spans="4:22" ht="21">
      <c r="D55" s="19"/>
      <c r="E55" s="19"/>
      <c r="F55" s="34"/>
      <c r="G55" s="20"/>
      <c r="H55" s="72" t="s">
        <v>31</v>
      </c>
      <c r="I55" s="72"/>
      <c r="J55" s="72"/>
      <c r="K55" s="72"/>
      <c r="L55" s="72"/>
      <c r="M55" s="20"/>
      <c r="N55" s="20"/>
      <c r="O55" s="53" t="s">
        <v>32</v>
      </c>
      <c r="P55" s="53"/>
      <c r="Q55" s="53"/>
      <c r="R55" s="53"/>
      <c r="S55" s="20"/>
      <c r="T55" s="34"/>
      <c r="U55" s="19"/>
      <c r="V55" s="19"/>
    </row>
    <row r="56" spans="4:22" ht="30.75" customHeight="1">
      <c r="D56" s="19"/>
      <c r="E56" s="19"/>
      <c r="F56" s="34"/>
      <c r="G56" s="20"/>
      <c r="H56" s="54" t="s">
        <v>353</v>
      </c>
      <c r="I56" s="55"/>
      <c r="J56" s="55"/>
      <c r="K56" s="55"/>
      <c r="L56" s="56"/>
      <c r="M56" s="20"/>
      <c r="N56" s="20"/>
      <c r="O56" s="63" t="s">
        <v>349</v>
      </c>
      <c r="P56" s="64"/>
      <c r="Q56" s="64"/>
      <c r="R56" s="65"/>
      <c r="S56" s="20"/>
      <c r="T56" s="34"/>
      <c r="U56" s="19"/>
      <c r="V56" s="19"/>
    </row>
    <row r="57" spans="4:22" ht="30.75" customHeight="1">
      <c r="D57" s="19"/>
      <c r="E57" s="19"/>
      <c r="F57" s="34"/>
      <c r="G57" s="20"/>
      <c r="H57" s="57"/>
      <c r="I57" s="58"/>
      <c r="J57" s="58"/>
      <c r="K57" s="58"/>
      <c r="L57" s="59"/>
      <c r="M57" s="20"/>
      <c r="N57" s="20"/>
      <c r="O57" s="66"/>
      <c r="P57" s="67"/>
      <c r="Q57" s="67"/>
      <c r="R57" s="68"/>
      <c r="S57" s="20"/>
      <c r="T57" s="34"/>
      <c r="U57" s="19"/>
      <c r="V57" s="19"/>
    </row>
    <row r="58" spans="4:22" ht="30.75" customHeight="1">
      <c r="D58" s="19"/>
      <c r="E58" s="19"/>
      <c r="F58" s="34"/>
      <c r="G58" s="20"/>
      <c r="H58" s="60"/>
      <c r="I58" s="61"/>
      <c r="J58" s="61"/>
      <c r="K58" s="61"/>
      <c r="L58" s="62"/>
      <c r="M58" s="20"/>
      <c r="N58" s="20"/>
      <c r="O58" s="69"/>
      <c r="P58" s="70"/>
      <c r="Q58" s="70"/>
      <c r="R58" s="71"/>
      <c r="S58" s="20"/>
      <c r="T58" s="34"/>
      <c r="U58" s="19"/>
      <c r="V58" s="19"/>
    </row>
    <row r="59" spans="4:22" ht="15.75" customHeight="1">
      <c r="D59" s="19"/>
      <c r="E59" s="19"/>
      <c r="F59" s="3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34"/>
      <c r="U59" s="19"/>
      <c r="V59" s="19"/>
    </row>
    <row r="60" spans="4:22">
      <c r="D60" s="19"/>
      <c r="E60" s="19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19"/>
      <c r="V60" s="19"/>
    </row>
    <row r="61" spans="4:22"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4:22"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4:22"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4:22"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70" spans="8:13" hidden="1">
      <c r="H70" s="1" t="str">
        <f>J14</f>
        <v>Gerencia</v>
      </c>
      <c r="I70" s="1" t="str">
        <f>'Soliciutd OC'!H45</f>
        <v>General</v>
      </c>
      <c r="J70" s="1">
        <f>'Soliciutd OC'!H47</f>
        <v>0</v>
      </c>
      <c r="K70" s="1">
        <f>'Soliciutd OC'!H49</f>
        <v>0</v>
      </c>
      <c r="L70" s="1">
        <f>'Soliciutd OC'!H51</f>
        <v>0</v>
      </c>
      <c r="M70" s="1">
        <f>'Soliciutd OC'!H53</f>
        <v>0</v>
      </c>
    </row>
    <row r="71" spans="8:13" hidden="1">
      <c r="H71" s="1" t="e">
        <f>IF(H70="general",Tablas!B57,VLOOKUP(H70,TABLACC,2,FALSE))</f>
        <v>#N/A</v>
      </c>
      <c r="I71" s="1" t="str">
        <f>IFERROR(VLOOKUP(I70,TABLACC,2,FALSE),0)</f>
        <v>LISTA3</v>
      </c>
      <c r="J71" s="1">
        <f>IFERROR(VLOOKUP(J70,TABLACC,2,FALSE),0)</f>
        <v>0</v>
      </c>
      <c r="K71" s="1">
        <f>IFERROR(VLOOKUP(K70,TABLACC,2,FALSE),0)</f>
        <v>0</v>
      </c>
      <c r="L71" s="1">
        <f>IFERROR(VLOOKUP(L70,TABLACC,2,FALSE),0)</f>
        <v>0</v>
      </c>
      <c r="M71" s="1">
        <f>IFERROR(VLOOKUP(M70,TABLACC,2,FALSE),0)</f>
        <v>0</v>
      </c>
    </row>
  </sheetData>
  <sheetProtection algorithmName="SHA-512" hashValue="2fcH9qKpQqIRWnqzTVVeA94SDl/WQxoI+18Mxskqh5j+OACLgSrf5MLc0g1k4DFLh4qEB+W3KPlgp9rcLEwvLw==" saltValue="s6hVZbvT3XQ6K7qbqMU/mA==" spinCount="100000" formatCells="0" selectLockedCells="1"/>
  <dataConsolidate/>
  <mergeCells count="42">
    <mergeCell ref="O55:R55"/>
    <mergeCell ref="H56:L58"/>
    <mergeCell ref="O56:R58"/>
    <mergeCell ref="H55:L55"/>
    <mergeCell ref="H49:J49"/>
    <mergeCell ref="L49:N49"/>
    <mergeCell ref="H51:J51"/>
    <mergeCell ref="L51:N51"/>
    <mergeCell ref="H53:J53"/>
    <mergeCell ref="L53:N53"/>
    <mergeCell ref="L47:N47"/>
    <mergeCell ref="G42:S42"/>
    <mergeCell ref="H45:J45"/>
    <mergeCell ref="G18:S18"/>
    <mergeCell ref="I20:R20"/>
    <mergeCell ref="I22:R22"/>
    <mergeCell ref="I24:M24"/>
    <mergeCell ref="P24:R24"/>
    <mergeCell ref="J26:R26"/>
    <mergeCell ref="Q38:R38"/>
    <mergeCell ref="Q34:R34"/>
    <mergeCell ref="I34:O34"/>
    <mergeCell ref="L40:M40"/>
    <mergeCell ref="L45:N45"/>
    <mergeCell ref="H47:J47"/>
    <mergeCell ref="I28:M28"/>
    <mergeCell ref="J6:O6"/>
    <mergeCell ref="Q28:R28"/>
    <mergeCell ref="I30:K30"/>
    <mergeCell ref="J40:K40"/>
    <mergeCell ref="O36:R36"/>
    <mergeCell ref="M36:N36"/>
    <mergeCell ref="P30:R30"/>
    <mergeCell ref="G32:S32"/>
    <mergeCell ref="I36:L36"/>
    <mergeCell ref="I38:L38"/>
    <mergeCell ref="O40:R40"/>
    <mergeCell ref="J16:R16"/>
    <mergeCell ref="G8:S8"/>
    <mergeCell ref="I10:L10"/>
    <mergeCell ref="J12:R12"/>
    <mergeCell ref="J14:R14"/>
  </mergeCells>
  <dataValidations count="9">
    <dataValidation type="list" allowBlank="1" showInputMessage="1" showErrorMessage="1" sqref="I30" xr:uid="{00000000-0002-0000-0000-000000000000}">
      <formula1>PAGO</formula1>
    </dataValidation>
    <dataValidation type="date" operator="greaterThan" allowBlank="1" showInputMessage="1" showErrorMessage="1" errorTitle="Error en formato de fecha" error="Introduzca una fecha correcta" prompt="Ejemplo: 01/01/2015" sqref="R10" xr:uid="{00000000-0002-0000-0000-000001000000}">
      <formula1>18295</formula1>
    </dataValidation>
    <dataValidation type="list" allowBlank="1" showInputMessage="1" showErrorMessage="1" sqref="O36" xr:uid="{00000000-0002-0000-0000-000002000000}">
      <formula1>documentos</formula1>
    </dataValidation>
    <dataValidation type="list" allowBlank="1" showInputMessage="1" showErrorMessage="1" sqref="Q28" xr:uid="{00000000-0002-0000-0000-000003000000}">
      <formula1>cuentas</formula1>
    </dataValidation>
    <dataValidation type="list" allowBlank="1" showInputMessage="1" showErrorMessage="1" sqref="J16:R16" xr:uid="{00000000-0002-0000-0000-000006000000}">
      <formula1>INDIRECT($H$71)</formula1>
    </dataValidation>
    <dataValidation type="list" allowBlank="1" showInputMessage="1" showErrorMessage="1" sqref="I40" xr:uid="{00000000-0002-0000-0000-00000C000000}">
      <formula1>TIPO</formula1>
    </dataValidation>
    <dataValidation allowBlank="1" showInputMessage="1" showErrorMessage="1" prompt="Escribir la unidad de reajustabilidad a la fecha de conversión._x000a_Ejemplo:_x000a_Indicador: USD_x000a_Tipo de Cambio: 682,55" sqref="L40" xr:uid="{00000000-0002-0000-0000-00000D000000}"/>
    <dataValidation type="date" operator="greaterThan" allowBlank="1" showInputMessage="1" showErrorMessage="1" prompt="Ejemplo: 01/01/2015" sqref="Q34" xr:uid="{00000000-0002-0000-0000-00000E000000}">
      <formula1>18264</formula1>
    </dataValidation>
    <dataValidation operator="greaterThan" allowBlank="1" showInputMessage="1" showErrorMessage="1" prompt="Ejemplo: USD" sqref="Q38" xr:uid="{00000000-0002-0000-0000-00000F000000}"/>
  </dataValidations>
  <pageMargins left="0.25" right="0.25" top="0.75" bottom="0.75" header="0.3" footer="0.3"/>
  <pageSetup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7000000}">
          <x14:formula1>
            <xm:f>Tablas!$D$47:$D$67</xm:f>
          </x14:formula1>
          <xm:sqref>L45:N45 L47:N47 L49:N49 L51:N51 L53:N53</xm:sqref>
        </x14:dataValidation>
        <x14:dataValidation type="list" allowBlank="1" showInputMessage="1" showErrorMessage="1" xr:uid="{00000000-0002-0000-0000-000010000000}">
          <x14:formula1>
            <xm:f>Tablas!$A$14:$A$17</xm:f>
          </x14:formula1>
          <xm:sqref>J14:R14</xm:sqref>
        </x14:dataValidation>
        <x14:dataValidation type="list" allowBlank="1" showInputMessage="1" showErrorMessage="1" xr:uid="{88781409-A131-493A-BB07-5E5DF2683268}">
          <x14:formula1>
            <xm:f>Tablas!$D$23:$D$41</xm:f>
          </x14:formula1>
          <xm:sqref>P30:R30</xm:sqref>
        </x14:dataValidation>
        <x14:dataValidation type="list" allowBlank="1" showInputMessage="1" showErrorMessage="1" xr:uid="{D4056EA3-0201-406A-A036-F2A517779F95}">
          <x14:formula1>
            <xm:f>Tablas!$A$6</xm:f>
          </x14:formula1>
          <xm:sqref>I10:L10</xm:sqref>
        </x14:dataValidation>
        <x14:dataValidation type="list" allowBlank="1" showInputMessage="1" showErrorMessage="1" xr:uid="{3D20E215-373F-490D-AB6C-73AEDF047B5A}">
          <x14:formula1>
            <xm:f>Tablas!$A$14:$A$18</xm:f>
          </x14:formula1>
          <xm:sqref>H45:J45 H47:J47 H49:J49 H51:J51 H53:J53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"/>
  <sheetViews>
    <sheetView workbookViewId="0"/>
  </sheetViews>
  <sheetFormatPr baseColWidth="10" defaultColWidth="9.140625" defaultRowHeight="15"/>
  <sheetData>
    <row r="1" spans="1:1">
      <c r="A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M258"/>
  <sheetViews>
    <sheetView workbookViewId="0">
      <selection activeCell="D47" sqref="D47:D67"/>
    </sheetView>
  </sheetViews>
  <sheetFormatPr baseColWidth="10" defaultColWidth="11.42578125" defaultRowHeight="15"/>
  <cols>
    <col min="1" max="1" width="22.140625" bestFit="1" customWidth="1"/>
    <col min="4" max="4" width="27.28515625" bestFit="1" customWidth="1"/>
    <col min="9" max="9" width="36.28515625" bestFit="1" customWidth="1"/>
    <col min="10" max="10" width="37" bestFit="1" customWidth="1"/>
    <col min="12" max="12" width="34.85546875" bestFit="1" customWidth="1"/>
    <col min="13" max="13" width="35" bestFit="1" customWidth="1"/>
  </cols>
  <sheetData>
    <row r="1" spans="1:13">
      <c r="E1" s="9" t="s">
        <v>34</v>
      </c>
      <c r="I1" s="2" t="s">
        <v>35</v>
      </c>
      <c r="J1" s="2" t="s">
        <v>36</v>
      </c>
    </row>
    <row r="2" spans="1:13">
      <c r="A2" t="s">
        <v>37</v>
      </c>
      <c r="E2" s="9" t="s">
        <v>38</v>
      </c>
      <c r="I2" s="3" t="s">
        <v>39</v>
      </c>
      <c r="J2" s="3" t="s">
        <v>40</v>
      </c>
      <c r="L2" t="s">
        <v>41</v>
      </c>
      <c r="M2" t="s">
        <v>40</v>
      </c>
    </row>
    <row r="3" spans="1:13">
      <c r="A3" t="s">
        <v>42</v>
      </c>
      <c r="E3" s="9" t="s">
        <v>43</v>
      </c>
      <c r="I3" s="3" t="s">
        <v>39</v>
      </c>
      <c r="J3" s="3" t="s">
        <v>44</v>
      </c>
      <c r="L3" t="s">
        <v>41</v>
      </c>
      <c r="M3" t="s">
        <v>44</v>
      </c>
    </row>
    <row r="4" spans="1:13">
      <c r="A4" t="s">
        <v>45</v>
      </c>
      <c r="E4" s="9" t="s">
        <v>46</v>
      </c>
      <c r="I4" s="3" t="s">
        <v>39</v>
      </c>
      <c r="J4" s="3" t="s">
        <v>47</v>
      </c>
      <c r="L4" t="s">
        <v>41</v>
      </c>
      <c r="M4" t="s">
        <v>47</v>
      </c>
    </row>
    <row r="5" spans="1:13">
      <c r="A5" t="s">
        <v>2</v>
      </c>
      <c r="E5" s="9" t="s">
        <v>48</v>
      </c>
      <c r="I5" s="3" t="s">
        <v>39</v>
      </c>
      <c r="J5" s="3" t="s">
        <v>49</v>
      </c>
      <c r="L5" t="s">
        <v>41</v>
      </c>
      <c r="M5" t="s">
        <v>49</v>
      </c>
    </row>
    <row r="6" spans="1:13">
      <c r="A6" t="s">
        <v>263</v>
      </c>
      <c r="E6" s="9"/>
      <c r="I6" s="3" t="s">
        <v>39</v>
      </c>
      <c r="J6" s="3" t="s">
        <v>50</v>
      </c>
    </row>
    <row r="7" spans="1:13">
      <c r="A7" t="s">
        <v>51</v>
      </c>
      <c r="E7" s="9"/>
      <c r="I7" s="4" t="s">
        <v>52</v>
      </c>
      <c r="J7" s="4" t="s">
        <v>53</v>
      </c>
      <c r="L7" t="s">
        <v>54</v>
      </c>
      <c r="M7" t="s">
        <v>53</v>
      </c>
    </row>
    <row r="8" spans="1:13">
      <c r="A8" t="s">
        <v>55</v>
      </c>
      <c r="C8" t="s">
        <v>56</v>
      </c>
      <c r="E8" s="9"/>
      <c r="I8" s="4" t="s">
        <v>52</v>
      </c>
      <c r="J8" s="4" t="s">
        <v>57</v>
      </c>
      <c r="L8" t="s">
        <v>54</v>
      </c>
      <c r="M8" t="s">
        <v>57</v>
      </c>
    </row>
    <row r="9" spans="1:13">
      <c r="A9" t="s">
        <v>58</v>
      </c>
      <c r="C9" t="s">
        <v>59</v>
      </c>
      <c r="E9" s="9"/>
      <c r="I9" s="4" t="s">
        <v>52</v>
      </c>
      <c r="J9" s="4" t="s">
        <v>60</v>
      </c>
      <c r="L9" t="s">
        <v>54</v>
      </c>
      <c r="M9" t="s">
        <v>60</v>
      </c>
    </row>
    <row r="10" spans="1:13">
      <c r="C10" t="s">
        <v>61</v>
      </c>
      <c r="E10" s="9"/>
      <c r="F10" t="s">
        <v>62</v>
      </c>
      <c r="I10" s="4" t="s">
        <v>52</v>
      </c>
      <c r="J10" s="4" t="s">
        <v>63</v>
      </c>
      <c r="L10" t="s">
        <v>54</v>
      </c>
      <c r="M10" t="s">
        <v>63</v>
      </c>
    </row>
    <row r="11" spans="1:13">
      <c r="C11" t="s">
        <v>64</v>
      </c>
      <c r="E11" s="9" t="s">
        <v>65</v>
      </c>
      <c r="F11" t="s">
        <v>66</v>
      </c>
      <c r="I11" s="4" t="s">
        <v>52</v>
      </c>
      <c r="J11" s="4" t="s">
        <v>67</v>
      </c>
      <c r="L11" t="s">
        <v>54</v>
      </c>
      <c r="M11" t="s">
        <v>67</v>
      </c>
    </row>
    <row r="12" spans="1:13">
      <c r="C12" t="s">
        <v>68</v>
      </c>
      <c r="E12" s="9" t="s">
        <v>69</v>
      </c>
      <c r="F12" t="s">
        <v>70</v>
      </c>
      <c r="I12" s="4" t="s">
        <v>52</v>
      </c>
      <c r="J12" s="4" t="s">
        <v>71</v>
      </c>
      <c r="L12" t="s">
        <v>54</v>
      </c>
      <c r="M12" t="s">
        <v>71</v>
      </c>
    </row>
    <row r="13" spans="1:13" ht="18">
      <c r="A13" s="8" t="s">
        <v>72</v>
      </c>
      <c r="B13" s="8"/>
      <c r="C13" t="s">
        <v>73</v>
      </c>
      <c r="F13" t="s">
        <v>74</v>
      </c>
      <c r="I13" s="4" t="s">
        <v>52</v>
      </c>
      <c r="J13" s="4" t="s">
        <v>40</v>
      </c>
      <c r="L13" t="s">
        <v>54</v>
      </c>
      <c r="M13" t="s">
        <v>40</v>
      </c>
    </row>
    <row r="14" spans="1:13" ht="18">
      <c r="A14" s="28" t="s">
        <v>260</v>
      </c>
      <c r="B14" s="8" t="s">
        <v>75</v>
      </c>
      <c r="C14" t="s">
        <v>76</v>
      </c>
      <c r="F14" t="s">
        <v>77</v>
      </c>
      <c r="I14" s="4" t="s">
        <v>52</v>
      </c>
      <c r="J14" s="4" t="s">
        <v>44</v>
      </c>
      <c r="L14" t="s">
        <v>54</v>
      </c>
      <c r="M14" t="s">
        <v>44</v>
      </c>
    </row>
    <row r="15" spans="1:13" ht="18">
      <c r="A15" s="28" t="s">
        <v>261</v>
      </c>
      <c r="B15" s="8" t="s">
        <v>78</v>
      </c>
      <c r="F15" t="s">
        <v>79</v>
      </c>
      <c r="I15" s="4" t="s">
        <v>52</v>
      </c>
      <c r="J15" s="4" t="s">
        <v>47</v>
      </c>
      <c r="L15" t="s">
        <v>54</v>
      </c>
      <c r="M15" t="s">
        <v>47</v>
      </c>
    </row>
    <row r="16" spans="1:13" ht="18">
      <c r="A16" s="28" t="s">
        <v>160</v>
      </c>
      <c r="B16" s="8" t="s">
        <v>81</v>
      </c>
      <c r="I16" s="4" t="s">
        <v>52</v>
      </c>
      <c r="J16" s="4" t="s">
        <v>49</v>
      </c>
      <c r="L16" t="s">
        <v>54</v>
      </c>
      <c r="M16" t="s">
        <v>49</v>
      </c>
    </row>
    <row r="17" spans="1:13" ht="18">
      <c r="A17" s="28" t="s">
        <v>262</v>
      </c>
      <c r="B17" s="8" t="s">
        <v>83</v>
      </c>
      <c r="I17" s="4" t="s">
        <v>52</v>
      </c>
      <c r="J17" s="4" t="s">
        <v>84</v>
      </c>
      <c r="L17" t="s">
        <v>54</v>
      </c>
      <c r="M17" t="s">
        <v>84</v>
      </c>
    </row>
    <row r="18" spans="1:13" ht="18">
      <c r="A18" s="28"/>
      <c r="B18" s="8" t="s">
        <v>86</v>
      </c>
      <c r="I18" s="4" t="s">
        <v>52</v>
      </c>
      <c r="J18" s="4" t="s">
        <v>50</v>
      </c>
    </row>
    <row r="19" spans="1:13" ht="18">
      <c r="A19" s="28"/>
      <c r="B19" s="8" t="s">
        <v>88</v>
      </c>
      <c r="I19" s="3" t="s">
        <v>80</v>
      </c>
      <c r="J19" s="3" t="s">
        <v>89</v>
      </c>
      <c r="L19" t="s">
        <v>90</v>
      </c>
      <c r="M19" t="s">
        <v>89</v>
      </c>
    </row>
    <row r="20" spans="1:13" ht="18">
      <c r="A20" s="28"/>
      <c r="B20" s="8" t="s">
        <v>92</v>
      </c>
      <c r="I20" s="3" t="s">
        <v>80</v>
      </c>
      <c r="J20" s="3" t="s">
        <v>40</v>
      </c>
      <c r="L20" t="s">
        <v>90</v>
      </c>
      <c r="M20" t="s">
        <v>40</v>
      </c>
    </row>
    <row r="21" spans="1:13" ht="18">
      <c r="A21" s="28"/>
      <c r="B21" s="8" t="s">
        <v>94</v>
      </c>
      <c r="I21" s="3" t="s">
        <v>80</v>
      </c>
      <c r="J21" s="3" t="s">
        <v>44</v>
      </c>
      <c r="L21" t="s">
        <v>90</v>
      </c>
      <c r="M21" t="s">
        <v>44</v>
      </c>
    </row>
    <row r="22" spans="1:13" ht="18">
      <c r="A22" s="29" t="s">
        <v>95</v>
      </c>
      <c r="B22" s="29" t="s">
        <v>96</v>
      </c>
      <c r="D22" t="s">
        <v>280</v>
      </c>
      <c r="E22" t="s">
        <v>281</v>
      </c>
      <c r="I22" s="3" t="s">
        <v>80</v>
      </c>
      <c r="J22" s="3" t="s">
        <v>47</v>
      </c>
      <c r="L22" t="s">
        <v>90</v>
      </c>
      <c r="M22" t="s">
        <v>47</v>
      </c>
    </row>
    <row r="23" spans="1:13" ht="18">
      <c r="A23" t="s">
        <v>97</v>
      </c>
      <c r="B23" s="8" t="s">
        <v>98</v>
      </c>
      <c r="D23" t="s">
        <v>282</v>
      </c>
      <c r="E23">
        <v>16</v>
      </c>
      <c r="I23" s="3" t="s">
        <v>80</v>
      </c>
      <c r="J23" s="3" t="s">
        <v>49</v>
      </c>
      <c r="L23" t="s">
        <v>90</v>
      </c>
      <c r="M23" t="s">
        <v>49</v>
      </c>
    </row>
    <row r="24" spans="1:13" ht="18">
      <c r="A24" t="s">
        <v>99</v>
      </c>
      <c r="B24" s="8" t="s">
        <v>100</v>
      </c>
      <c r="D24" t="s">
        <v>283</v>
      </c>
      <c r="E24">
        <v>28</v>
      </c>
      <c r="I24" s="3" t="s">
        <v>80</v>
      </c>
      <c r="J24" s="3" t="s">
        <v>84</v>
      </c>
      <c r="L24" t="s">
        <v>90</v>
      </c>
      <c r="M24" t="s">
        <v>84</v>
      </c>
    </row>
    <row r="25" spans="1:13" ht="18">
      <c r="A25" t="s">
        <v>101</v>
      </c>
      <c r="B25" s="8" t="s">
        <v>102</v>
      </c>
      <c r="D25" t="s">
        <v>284</v>
      </c>
      <c r="E25">
        <v>55</v>
      </c>
      <c r="I25" s="3" t="s">
        <v>80</v>
      </c>
      <c r="J25" s="3" t="s">
        <v>50</v>
      </c>
    </row>
    <row r="26" spans="1:13" ht="18">
      <c r="A26" s="8" t="s">
        <v>103</v>
      </c>
      <c r="B26" s="8" t="s">
        <v>104</v>
      </c>
      <c r="D26" t="s">
        <v>285</v>
      </c>
      <c r="E26">
        <v>27</v>
      </c>
      <c r="I26" s="4" t="s">
        <v>82</v>
      </c>
      <c r="J26" s="4" t="s">
        <v>105</v>
      </c>
      <c r="L26" t="s">
        <v>106</v>
      </c>
      <c r="M26" t="s">
        <v>105</v>
      </c>
    </row>
    <row r="27" spans="1:13" ht="18">
      <c r="A27" s="8" t="s">
        <v>107</v>
      </c>
      <c r="B27" s="8" t="s">
        <v>108</v>
      </c>
      <c r="D27" t="s">
        <v>286</v>
      </c>
      <c r="E27">
        <v>1</v>
      </c>
      <c r="I27" s="4" t="s">
        <v>82</v>
      </c>
      <c r="J27" s="4" t="s">
        <v>40</v>
      </c>
      <c r="L27" t="s">
        <v>106</v>
      </c>
      <c r="M27" t="s">
        <v>40</v>
      </c>
    </row>
    <row r="28" spans="1:13" ht="18">
      <c r="A28" s="8" t="s">
        <v>109</v>
      </c>
      <c r="B28" s="8" t="s">
        <v>110</v>
      </c>
      <c r="D28" t="s">
        <v>287</v>
      </c>
      <c r="E28">
        <v>1</v>
      </c>
      <c r="I28" s="4" t="s">
        <v>82</v>
      </c>
      <c r="J28" s="4" t="s">
        <v>44</v>
      </c>
      <c r="L28" t="s">
        <v>106</v>
      </c>
      <c r="M28" t="s">
        <v>44</v>
      </c>
    </row>
    <row r="29" spans="1:13" ht="18">
      <c r="A29" s="8" t="s">
        <v>111</v>
      </c>
      <c r="B29" s="8" t="s">
        <v>112</v>
      </c>
      <c r="D29" t="s">
        <v>288</v>
      </c>
      <c r="E29">
        <v>1</v>
      </c>
      <c r="I29" s="4" t="s">
        <v>82</v>
      </c>
      <c r="J29" s="4" t="s">
        <v>47</v>
      </c>
      <c r="L29" t="s">
        <v>106</v>
      </c>
      <c r="M29" t="s">
        <v>47</v>
      </c>
    </row>
    <row r="30" spans="1:13" ht="18">
      <c r="A30" s="8" t="s">
        <v>113</v>
      </c>
      <c r="B30" s="8" t="s">
        <v>114</v>
      </c>
      <c r="D30" t="s">
        <v>289</v>
      </c>
      <c r="E30">
        <v>14</v>
      </c>
      <c r="I30" s="4" t="s">
        <v>82</v>
      </c>
      <c r="J30" s="4" t="s">
        <v>49</v>
      </c>
      <c r="L30" t="s">
        <v>106</v>
      </c>
      <c r="M30" t="s">
        <v>49</v>
      </c>
    </row>
    <row r="31" spans="1:13" ht="18">
      <c r="A31" s="8" t="s">
        <v>115</v>
      </c>
      <c r="B31" s="8" t="s">
        <v>116</v>
      </c>
      <c r="D31" t="s">
        <v>290</v>
      </c>
      <c r="E31">
        <v>12</v>
      </c>
      <c r="I31" s="4" t="s">
        <v>82</v>
      </c>
      <c r="J31" s="4" t="s">
        <v>50</v>
      </c>
    </row>
    <row r="32" spans="1:13" ht="18">
      <c r="A32" s="8" t="s">
        <v>117</v>
      </c>
      <c r="B32" s="8" t="s">
        <v>118</v>
      </c>
      <c r="D32" t="s">
        <v>291</v>
      </c>
      <c r="E32">
        <v>51</v>
      </c>
      <c r="I32" s="3" t="s">
        <v>85</v>
      </c>
      <c r="J32" s="3" t="s">
        <v>119</v>
      </c>
      <c r="L32" t="s">
        <v>120</v>
      </c>
      <c r="M32" t="s">
        <v>119</v>
      </c>
    </row>
    <row r="33" spans="1:13" ht="18">
      <c r="A33" s="8" t="s">
        <v>121</v>
      </c>
      <c r="B33" s="8" t="s">
        <v>122</v>
      </c>
      <c r="D33" t="s">
        <v>292</v>
      </c>
      <c r="E33">
        <v>9</v>
      </c>
      <c r="I33" s="3" t="s">
        <v>85</v>
      </c>
      <c r="J33" s="3" t="s">
        <v>123</v>
      </c>
      <c r="L33" t="s">
        <v>120</v>
      </c>
      <c r="M33" t="s">
        <v>123</v>
      </c>
    </row>
    <row r="34" spans="1:13" ht="18">
      <c r="A34" s="8" t="s">
        <v>124</v>
      </c>
      <c r="B34" s="8" t="s">
        <v>125</v>
      </c>
      <c r="D34" t="s">
        <v>293</v>
      </c>
      <c r="E34">
        <v>39</v>
      </c>
      <c r="I34" s="3" t="s">
        <v>85</v>
      </c>
      <c r="J34" s="3" t="s">
        <v>40</v>
      </c>
      <c r="L34" t="s">
        <v>120</v>
      </c>
      <c r="M34" t="s">
        <v>40</v>
      </c>
    </row>
    <row r="35" spans="1:13" ht="18">
      <c r="A35" s="8" t="s">
        <v>126</v>
      </c>
      <c r="B35" s="8" t="s">
        <v>127</v>
      </c>
      <c r="D35" t="s">
        <v>294</v>
      </c>
      <c r="E35">
        <v>39</v>
      </c>
      <c r="I35" s="3" t="s">
        <v>85</v>
      </c>
      <c r="J35" s="3" t="s">
        <v>44</v>
      </c>
      <c r="L35" t="s">
        <v>120</v>
      </c>
      <c r="M35" t="s">
        <v>44</v>
      </c>
    </row>
    <row r="36" spans="1:13" ht="18">
      <c r="A36" s="8" t="s">
        <v>128</v>
      </c>
      <c r="B36" s="8" t="s">
        <v>129</v>
      </c>
      <c r="D36" t="s">
        <v>295</v>
      </c>
      <c r="E36">
        <v>37</v>
      </c>
      <c r="I36" s="3" t="s">
        <v>85</v>
      </c>
      <c r="J36" s="3" t="s">
        <v>47</v>
      </c>
      <c r="L36" t="s">
        <v>120</v>
      </c>
      <c r="M36" t="s">
        <v>47</v>
      </c>
    </row>
    <row r="37" spans="1:13" ht="18">
      <c r="A37" s="8" t="s">
        <v>130</v>
      </c>
      <c r="B37" s="8" t="s">
        <v>131</v>
      </c>
      <c r="D37" t="s">
        <v>296</v>
      </c>
      <c r="E37">
        <v>14</v>
      </c>
      <c r="I37" s="3" t="s">
        <v>85</v>
      </c>
      <c r="J37" s="3" t="s">
        <v>49</v>
      </c>
      <c r="L37" t="s">
        <v>120</v>
      </c>
      <c r="M37" t="s">
        <v>49</v>
      </c>
    </row>
    <row r="38" spans="1:13" ht="18">
      <c r="A38" s="8" t="s">
        <v>132</v>
      </c>
      <c r="B38" s="8" t="s">
        <v>133</v>
      </c>
      <c r="D38" t="s">
        <v>297</v>
      </c>
      <c r="E38">
        <v>49</v>
      </c>
      <c r="I38" s="3" t="s">
        <v>85</v>
      </c>
      <c r="J38" s="3" t="s">
        <v>50</v>
      </c>
    </row>
    <row r="39" spans="1:13" ht="18">
      <c r="A39" s="8" t="s">
        <v>134</v>
      </c>
      <c r="B39" s="8" t="s">
        <v>135</v>
      </c>
      <c r="D39" t="s">
        <v>298</v>
      </c>
      <c r="E39">
        <v>16</v>
      </c>
      <c r="I39" s="4" t="s">
        <v>87</v>
      </c>
      <c r="J39" s="4" t="s">
        <v>105</v>
      </c>
      <c r="L39" t="s">
        <v>136</v>
      </c>
      <c r="M39" t="s">
        <v>105</v>
      </c>
    </row>
    <row r="40" spans="1:13" ht="18">
      <c r="A40" s="8" t="s">
        <v>137</v>
      </c>
      <c r="B40" s="8" t="s">
        <v>138</v>
      </c>
      <c r="D40" t="s">
        <v>299</v>
      </c>
      <c r="E40">
        <v>14</v>
      </c>
      <c r="I40" s="4" t="s">
        <v>87</v>
      </c>
      <c r="J40" s="4" t="s">
        <v>139</v>
      </c>
      <c r="L40" t="s">
        <v>136</v>
      </c>
      <c r="M40" t="s">
        <v>139</v>
      </c>
    </row>
    <row r="41" spans="1:13" ht="18">
      <c r="A41" s="8" t="s">
        <v>140</v>
      </c>
      <c r="B41" s="8" t="s">
        <v>141</v>
      </c>
      <c r="I41" s="4" t="s">
        <v>87</v>
      </c>
      <c r="J41" s="4" t="s">
        <v>40</v>
      </c>
      <c r="L41" t="s">
        <v>136</v>
      </c>
      <c r="M41" t="s">
        <v>40</v>
      </c>
    </row>
    <row r="42" spans="1:13" ht="18">
      <c r="A42" s="8" t="s">
        <v>142</v>
      </c>
      <c r="B42" s="8" t="s">
        <v>143</v>
      </c>
      <c r="I42" s="4" t="s">
        <v>87</v>
      </c>
      <c r="J42" s="4" t="s">
        <v>44</v>
      </c>
      <c r="L42" t="s">
        <v>136</v>
      </c>
      <c r="M42" t="s">
        <v>44</v>
      </c>
    </row>
    <row r="43" spans="1:13" ht="18">
      <c r="A43" s="8" t="s">
        <v>144</v>
      </c>
      <c r="B43" s="8" t="s">
        <v>145</v>
      </c>
      <c r="I43" s="4" t="s">
        <v>87</v>
      </c>
      <c r="J43" s="4" t="s">
        <v>47</v>
      </c>
      <c r="L43" t="s">
        <v>136</v>
      </c>
      <c r="M43" t="s">
        <v>47</v>
      </c>
    </row>
    <row r="44" spans="1:13" ht="18">
      <c r="A44" s="8" t="s">
        <v>146</v>
      </c>
      <c r="B44" s="8" t="s">
        <v>147</v>
      </c>
      <c r="I44" s="4" t="s">
        <v>87</v>
      </c>
      <c r="J44" s="4" t="s">
        <v>49</v>
      </c>
      <c r="L44" t="s">
        <v>136</v>
      </c>
      <c r="M44" t="s">
        <v>49</v>
      </c>
    </row>
    <row r="45" spans="1:13" ht="18">
      <c r="A45" s="8" t="s">
        <v>148</v>
      </c>
      <c r="B45" s="8" t="s">
        <v>149</v>
      </c>
      <c r="I45" s="4" t="s">
        <v>87</v>
      </c>
      <c r="J45" s="4" t="s">
        <v>84</v>
      </c>
      <c r="L45" t="s">
        <v>136</v>
      </c>
      <c r="M45" t="s">
        <v>84</v>
      </c>
    </row>
    <row r="46" spans="1:13" ht="18">
      <c r="A46" s="8" t="s">
        <v>150</v>
      </c>
      <c r="B46" s="8" t="s">
        <v>151</v>
      </c>
      <c r="D46" t="s">
        <v>300</v>
      </c>
      <c r="I46" s="4" t="s">
        <v>87</v>
      </c>
      <c r="J46" s="4" t="s">
        <v>50</v>
      </c>
    </row>
    <row r="47" spans="1:13" ht="18">
      <c r="A47" s="8" t="s">
        <v>152</v>
      </c>
      <c r="B47" s="8" t="s">
        <v>153</v>
      </c>
      <c r="D47" s="31">
        <v>0</v>
      </c>
      <c r="I47" s="5" t="s">
        <v>91</v>
      </c>
      <c r="J47" s="6" t="s">
        <v>154</v>
      </c>
      <c r="L47" t="s">
        <v>155</v>
      </c>
      <c r="M47" t="s">
        <v>154</v>
      </c>
    </row>
    <row r="48" spans="1:13">
      <c r="D48" s="31">
        <v>0.05</v>
      </c>
      <c r="I48" s="5" t="s">
        <v>91</v>
      </c>
      <c r="J48" s="6" t="s">
        <v>119</v>
      </c>
      <c r="L48" t="s">
        <v>155</v>
      </c>
      <c r="M48" t="s">
        <v>119</v>
      </c>
    </row>
    <row r="49" spans="1:13">
      <c r="D49" s="31">
        <v>0.1</v>
      </c>
      <c r="I49" s="5" t="s">
        <v>91</v>
      </c>
      <c r="J49" s="6" t="s">
        <v>156</v>
      </c>
      <c r="L49" t="s">
        <v>155</v>
      </c>
      <c r="M49" t="s">
        <v>156</v>
      </c>
    </row>
    <row r="50" spans="1:13">
      <c r="D50" s="31">
        <v>0.15</v>
      </c>
      <c r="I50" s="5" t="s">
        <v>91</v>
      </c>
      <c r="J50" s="6" t="s">
        <v>123</v>
      </c>
      <c r="L50" t="s">
        <v>155</v>
      </c>
      <c r="M50" t="s">
        <v>123</v>
      </c>
    </row>
    <row r="51" spans="1:13">
      <c r="D51" s="31">
        <v>0.2</v>
      </c>
      <c r="I51" s="5" t="s">
        <v>91</v>
      </c>
      <c r="J51" s="6" t="s">
        <v>67</v>
      </c>
      <c r="L51" t="s">
        <v>155</v>
      </c>
      <c r="M51" t="s">
        <v>67</v>
      </c>
    </row>
    <row r="52" spans="1:13">
      <c r="D52" s="31">
        <v>0.25</v>
      </c>
      <c r="I52" s="5" t="s">
        <v>91</v>
      </c>
      <c r="J52" s="6" t="s">
        <v>40</v>
      </c>
      <c r="L52" t="s">
        <v>155</v>
      </c>
      <c r="M52" t="s">
        <v>40</v>
      </c>
    </row>
    <row r="53" spans="1:13">
      <c r="D53" s="31">
        <v>0.3</v>
      </c>
      <c r="I53" s="5" t="s">
        <v>91</v>
      </c>
      <c r="J53" s="6" t="s">
        <v>157</v>
      </c>
      <c r="L53" t="s">
        <v>155</v>
      </c>
      <c r="M53" t="s">
        <v>157</v>
      </c>
    </row>
    <row r="54" spans="1:13">
      <c r="D54" s="31">
        <v>0.35</v>
      </c>
      <c r="I54" s="5" t="s">
        <v>91</v>
      </c>
      <c r="J54" s="6" t="s">
        <v>158</v>
      </c>
      <c r="L54" t="s">
        <v>155</v>
      </c>
      <c r="M54" t="s">
        <v>158</v>
      </c>
    </row>
    <row r="55" spans="1:13">
      <c r="D55" s="31">
        <v>0.4</v>
      </c>
      <c r="I55" s="5" t="s">
        <v>91</v>
      </c>
      <c r="J55" s="6" t="s">
        <v>159</v>
      </c>
      <c r="L55" t="s">
        <v>155</v>
      </c>
      <c r="M55" t="s">
        <v>159</v>
      </c>
    </row>
    <row r="56" spans="1:13">
      <c r="D56" s="31">
        <v>0.45</v>
      </c>
      <c r="H56" s="1"/>
      <c r="I56" s="5" t="s">
        <v>91</v>
      </c>
      <c r="J56" s="6" t="s">
        <v>44</v>
      </c>
      <c r="L56" t="s">
        <v>155</v>
      </c>
      <c r="M56" t="s">
        <v>44</v>
      </c>
    </row>
    <row r="57" spans="1:13" ht="18">
      <c r="A57" t="s">
        <v>160</v>
      </c>
      <c r="B57" s="8" t="s">
        <v>98</v>
      </c>
      <c r="D57" s="31">
        <v>0.5</v>
      </c>
      <c r="H57" s="1"/>
      <c r="I57" s="5" t="s">
        <v>91</v>
      </c>
      <c r="J57" s="6" t="s">
        <v>47</v>
      </c>
      <c r="L57" t="s">
        <v>155</v>
      </c>
      <c r="M57" t="s">
        <v>47</v>
      </c>
    </row>
    <row r="58" spans="1:13">
      <c r="D58" s="31">
        <v>0.55000000000000004</v>
      </c>
      <c r="I58" s="5" t="s">
        <v>91</v>
      </c>
      <c r="J58" s="6" t="s">
        <v>49</v>
      </c>
      <c r="L58" t="s">
        <v>155</v>
      </c>
      <c r="M58" t="s">
        <v>49</v>
      </c>
    </row>
    <row r="59" spans="1:13">
      <c r="D59" s="31">
        <v>0.6</v>
      </c>
      <c r="I59" s="5" t="s">
        <v>91</v>
      </c>
      <c r="J59" s="6" t="s">
        <v>50</v>
      </c>
    </row>
    <row r="60" spans="1:13">
      <c r="D60" s="31">
        <v>0.65</v>
      </c>
      <c r="I60" s="4" t="s">
        <v>93</v>
      </c>
      <c r="J60" s="4" t="s">
        <v>161</v>
      </c>
      <c r="L60" t="s">
        <v>162</v>
      </c>
      <c r="M60" t="s">
        <v>161</v>
      </c>
    </row>
    <row r="61" spans="1:13">
      <c r="D61" s="31">
        <v>0.7</v>
      </c>
      <c r="I61" s="4" t="s">
        <v>93</v>
      </c>
      <c r="J61" s="4" t="s">
        <v>123</v>
      </c>
      <c r="L61" t="s">
        <v>162</v>
      </c>
      <c r="M61" t="s">
        <v>123</v>
      </c>
    </row>
    <row r="62" spans="1:13">
      <c r="D62" s="31">
        <v>0.75</v>
      </c>
      <c r="I62" s="4" t="s">
        <v>93</v>
      </c>
      <c r="J62" s="4" t="s">
        <v>158</v>
      </c>
      <c r="L62" t="s">
        <v>162</v>
      </c>
      <c r="M62" t="s">
        <v>158</v>
      </c>
    </row>
    <row r="63" spans="1:13">
      <c r="D63" s="31">
        <v>0.8</v>
      </c>
      <c r="I63" s="4" t="s">
        <v>93</v>
      </c>
      <c r="J63" s="4" t="s">
        <v>40</v>
      </c>
      <c r="L63" t="s">
        <v>162</v>
      </c>
      <c r="M63" t="s">
        <v>40</v>
      </c>
    </row>
    <row r="64" spans="1:13">
      <c r="D64" s="31">
        <v>0.85</v>
      </c>
      <c r="I64" s="4" t="s">
        <v>93</v>
      </c>
      <c r="J64" s="4" t="s">
        <v>44</v>
      </c>
      <c r="L64" t="s">
        <v>162</v>
      </c>
      <c r="M64" t="s">
        <v>44</v>
      </c>
    </row>
    <row r="65" spans="4:13">
      <c r="D65" s="31">
        <v>0.9</v>
      </c>
      <c r="I65" s="4" t="s">
        <v>93</v>
      </c>
      <c r="J65" s="4" t="s">
        <v>47</v>
      </c>
      <c r="L65" t="s">
        <v>162</v>
      </c>
      <c r="M65" t="s">
        <v>47</v>
      </c>
    </row>
    <row r="66" spans="4:13">
      <c r="D66" s="31">
        <v>0.95</v>
      </c>
      <c r="I66" s="4" t="s">
        <v>93</v>
      </c>
      <c r="J66" s="4" t="s">
        <v>163</v>
      </c>
      <c r="L66" t="s">
        <v>162</v>
      </c>
      <c r="M66" t="s">
        <v>163</v>
      </c>
    </row>
    <row r="67" spans="4:13">
      <c r="D67" s="31">
        <v>1</v>
      </c>
      <c r="I67" s="4" t="s">
        <v>93</v>
      </c>
      <c r="J67" s="4" t="s">
        <v>49</v>
      </c>
      <c r="L67" t="s">
        <v>162</v>
      </c>
      <c r="M67" t="s">
        <v>49</v>
      </c>
    </row>
    <row r="68" spans="4:13">
      <c r="I68" s="4" t="s">
        <v>93</v>
      </c>
      <c r="J68" s="4" t="s">
        <v>50</v>
      </c>
    </row>
    <row r="69" spans="4:13">
      <c r="I69" s="3" t="s">
        <v>95</v>
      </c>
      <c r="J69" s="7" t="s">
        <v>139</v>
      </c>
      <c r="L69" t="s">
        <v>164</v>
      </c>
      <c r="M69" t="s">
        <v>139</v>
      </c>
    </row>
    <row r="70" spans="4:13">
      <c r="I70" s="3" t="s">
        <v>95</v>
      </c>
      <c r="J70" s="7" t="s">
        <v>158</v>
      </c>
      <c r="L70" t="s">
        <v>164</v>
      </c>
      <c r="M70" t="s">
        <v>158</v>
      </c>
    </row>
    <row r="71" spans="4:13">
      <c r="I71" s="3" t="s">
        <v>95</v>
      </c>
      <c r="J71" s="7" t="s">
        <v>165</v>
      </c>
      <c r="L71" t="s">
        <v>164</v>
      </c>
      <c r="M71" t="s">
        <v>165</v>
      </c>
    </row>
    <row r="72" spans="4:13">
      <c r="I72" s="3" t="s">
        <v>95</v>
      </c>
      <c r="J72" s="7" t="s">
        <v>49</v>
      </c>
      <c r="L72" t="s">
        <v>164</v>
      </c>
      <c r="M72" t="s">
        <v>49</v>
      </c>
    </row>
    <row r="73" spans="4:13">
      <c r="I73" s="3" t="s">
        <v>95</v>
      </c>
      <c r="J73" s="3" t="s">
        <v>71</v>
      </c>
      <c r="L73" t="s">
        <v>164</v>
      </c>
      <c r="M73" t="s">
        <v>71</v>
      </c>
    </row>
    <row r="74" spans="4:13">
      <c r="I74" s="4" t="s">
        <v>107</v>
      </c>
      <c r="J74" s="4" t="s">
        <v>166</v>
      </c>
      <c r="L74" t="s">
        <v>167</v>
      </c>
      <c r="M74" t="s">
        <v>166</v>
      </c>
    </row>
    <row r="75" spans="4:13">
      <c r="I75" s="4" t="s">
        <v>107</v>
      </c>
      <c r="J75" s="4" t="s">
        <v>40</v>
      </c>
      <c r="L75" t="s">
        <v>167</v>
      </c>
      <c r="M75" t="s">
        <v>40</v>
      </c>
    </row>
    <row r="76" spans="4:13">
      <c r="I76" s="4" t="s">
        <v>107</v>
      </c>
      <c r="J76" s="4" t="s">
        <v>47</v>
      </c>
      <c r="L76" t="s">
        <v>167</v>
      </c>
      <c r="M76" t="s">
        <v>47</v>
      </c>
    </row>
    <row r="77" spans="4:13">
      <c r="I77" s="4" t="s">
        <v>107</v>
      </c>
      <c r="J77" s="4" t="s">
        <v>168</v>
      </c>
      <c r="L77" t="s">
        <v>167</v>
      </c>
      <c r="M77" t="s">
        <v>168</v>
      </c>
    </row>
    <row r="78" spans="4:13">
      <c r="I78" s="4" t="s">
        <v>107</v>
      </c>
      <c r="J78" s="4" t="s">
        <v>169</v>
      </c>
      <c r="L78" t="s">
        <v>167</v>
      </c>
      <c r="M78" t="s">
        <v>169</v>
      </c>
    </row>
    <row r="79" spans="4:13">
      <c r="I79" s="4" t="s">
        <v>107</v>
      </c>
      <c r="J79" s="4" t="s">
        <v>170</v>
      </c>
      <c r="L79" t="s">
        <v>167</v>
      </c>
      <c r="M79" t="s">
        <v>170</v>
      </c>
    </row>
    <row r="80" spans="4:13">
      <c r="I80" s="4" t="s">
        <v>107</v>
      </c>
      <c r="J80" s="4" t="s">
        <v>171</v>
      </c>
      <c r="L80" t="s">
        <v>167</v>
      </c>
      <c r="M80" t="s">
        <v>171</v>
      </c>
    </row>
    <row r="81" spans="9:13">
      <c r="I81" s="4" t="s">
        <v>107</v>
      </c>
      <c r="J81" s="4" t="s">
        <v>172</v>
      </c>
      <c r="L81" t="s">
        <v>167</v>
      </c>
      <c r="M81" t="s">
        <v>172</v>
      </c>
    </row>
    <row r="82" spans="9:13">
      <c r="I82" s="4" t="s">
        <v>107</v>
      </c>
      <c r="J82" s="4" t="s">
        <v>173</v>
      </c>
      <c r="L82" t="s">
        <v>167</v>
      </c>
      <c r="M82" t="s">
        <v>173</v>
      </c>
    </row>
    <row r="83" spans="9:13">
      <c r="I83" s="4" t="s">
        <v>107</v>
      </c>
      <c r="J83" s="4" t="s">
        <v>174</v>
      </c>
      <c r="L83" t="s">
        <v>167</v>
      </c>
      <c r="M83" t="s">
        <v>174</v>
      </c>
    </row>
    <row r="84" spans="9:13">
      <c r="I84" s="4" t="s">
        <v>107</v>
      </c>
      <c r="J84" s="4" t="s">
        <v>44</v>
      </c>
      <c r="L84" t="s">
        <v>167</v>
      </c>
      <c r="M84" t="s">
        <v>44</v>
      </c>
    </row>
    <row r="85" spans="9:13">
      <c r="I85" s="4" t="s">
        <v>107</v>
      </c>
      <c r="J85" s="4" t="s">
        <v>49</v>
      </c>
      <c r="L85" t="s">
        <v>167</v>
      </c>
      <c r="M85" t="s">
        <v>49</v>
      </c>
    </row>
    <row r="86" spans="9:13">
      <c r="I86" s="4" t="s">
        <v>107</v>
      </c>
      <c r="J86" s="4" t="s">
        <v>50</v>
      </c>
    </row>
    <row r="87" spans="9:13">
      <c r="I87" s="3" t="s">
        <v>109</v>
      </c>
      <c r="J87" s="7" t="s">
        <v>175</v>
      </c>
      <c r="L87" t="s">
        <v>176</v>
      </c>
      <c r="M87" t="s">
        <v>175</v>
      </c>
    </row>
    <row r="88" spans="9:13">
      <c r="I88" s="3" t="s">
        <v>109</v>
      </c>
      <c r="J88" s="7" t="s">
        <v>177</v>
      </c>
      <c r="L88" t="s">
        <v>176</v>
      </c>
      <c r="M88" t="s">
        <v>177</v>
      </c>
    </row>
    <row r="89" spans="9:13">
      <c r="I89" s="3" t="s">
        <v>109</v>
      </c>
      <c r="J89" s="7" t="s">
        <v>178</v>
      </c>
      <c r="L89" t="s">
        <v>176</v>
      </c>
      <c r="M89" t="s">
        <v>178</v>
      </c>
    </row>
    <row r="90" spans="9:13">
      <c r="I90" s="3" t="s">
        <v>109</v>
      </c>
      <c r="J90" s="7" t="s">
        <v>179</v>
      </c>
      <c r="L90" t="s">
        <v>176</v>
      </c>
      <c r="M90" t="s">
        <v>179</v>
      </c>
    </row>
    <row r="91" spans="9:13">
      <c r="I91" s="4" t="s">
        <v>111</v>
      </c>
      <c r="J91" s="4" t="s">
        <v>180</v>
      </c>
      <c r="L91" t="s">
        <v>181</v>
      </c>
      <c r="M91" t="s">
        <v>180</v>
      </c>
    </row>
    <row r="92" spans="9:13">
      <c r="I92" s="4" t="s">
        <v>111</v>
      </c>
      <c r="J92" s="4" t="s">
        <v>182</v>
      </c>
      <c r="L92" t="s">
        <v>181</v>
      </c>
      <c r="M92" t="s">
        <v>182</v>
      </c>
    </row>
    <row r="93" spans="9:13">
      <c r="I93" s="4" t="s">
        <v>111</v>
      </c>
      <c r="J93" s="4" t="s">
        <v>183</v>
      </c>
      <c r="L93" t="s">
        <v>181</v>
      </c>
      <c r="M93" t="s">
        <v>183</v>
      </c>
    </row>
    <row r="94" spans="9:13">
      <c r="I94" s="4" t="s">
        <v>111</v>
      </c>
      <c r="J94" s="4" t="s">
        <v>184</v>
      </c>
      <c r="L94" t="s">
        <v>181</v>
      </c>
      <c r="M94" t="s">
        <v>184</v>
      </c>
    </row>
    <row r="95" spans="9:13">
      <c r="I95" s="4" t="s">
        <v>111</v>
      </c>
      <c r="J95" s="4" t="s">
        <v>185</v>
      </c>
      <c r="L95" t="s">
        <v>181</v>
      </c>
      <c r="M95" t="s">
        <v>185</v>
      </c>
    </row>
    <row r="96" spans="9:13">
      <c r="I96" s="4" t="s">
        <v>111</v>
      </c>
      <c r="J96" s="4" t="s">
        <v>186</v>
      </c>
      <c r="L96" t="s">
        <v>181</v>
      </c>
      <c r="M96" t="s">
        <v>186</v>
      </c>
    </row>
    <row r="97" spans="9:13">
      <c r="I97" s="3" t="s">
        <v>115</v>
      </c>
      <c r="J97" s="3" t="s">
        <v>187</v>
      </c>
      <c r="L97" t="s">
        <v>188</v>
      </c>
      <c r="M97" t="s">
        <v>187</v>
      </c>
    </row>
    <row r="98" spans="9:13">
      <c r="I98" s="3" t="s">
        <v>115</v>
      </c>
      <c r="J98" s="3" t="s">
        <v>189</v>
      </c>
      <c r="L98" t="s">
        <v>188</v>
      </c>
      <c r="M98" t="s">
        <v>189</v>
      </c>
    </row>
    <row r="99" spans="9:13">
      <c r="I99" s="3" t="s">
        <v>115</v>
      </c>
      <c r="J99" s="3" t="s">
        <v>161</v>
      </c>
      <c r="L99" t="s">
        <v>188</v>
      </c>
      <c r="M99" t="s">
        <v>161</v>
      </c>
    </row>
    <row r="100" spans="9:13">
      <c r="I100" s="4" t="s">
        <v>117</v>
      </c>
      <c r="J100" s="4" t="s">
        <v>47</v>
      </c>
      <c r="L100" t="s">
        <v>190</v>
      </c>
      <c r="M100" t="s">
        <v>105</v>
      </c>
    </row>
    <row r="101" spans="9:13">
      <c r="I101" s="4" t="s">
        <v>117</v>
      </c>
      <c r="J101" s="4" t="s">
        <v>40</v>
      </c>
      <c r="L101" t="s">
        <v>190</v>
      </c>
      <c r="M101" t="s">
        <v>191</v>
      </c>
    </row>
    <row r="102" spans="9:13">
      <c r="I102" s="4" t="s">
        <v>117</v>
      </c>
      <c r="J102" s="4" t="s">
        <v>84</v>
      </c>
      <c r="L102" t="s">
        <v>190</v>
      </c>
      <c r="M102" t="s">
        <v>40</v>
      </c>
    </row>
    <row r="103" spans="9:13">
      <c r="I103" s="4" t="s">
        <v>117</v>
      </c>
      <c r="J103" s="4" t="s">
        <v>44</v>
      </c>
      <c r="L103" t="s">
        <v>190</v>
      </c>
      <c r="M103" t="s">
        <v>44</v>
      </c>
    </row>
    <row r="104" spans="9:13">
      <c r="I104" s="4" t="s">
        <v>117</v>
      </c>
      <c r="J104" s="4" t="s">
        <v>191</v>
      </c>
      <c r="L104" t="s">
        <v>190</v>
      </c>
      <c r="M104" t="s">
        <v>47</v>
      </c>
    </row>
    <row r="105" spans="9:13">
      <c r="I105" s="4" t="s">
        <v>117</v>
      </c>
      <c r="J105" s="4" t="s">
        <v>105</v>
      </c>
      <c r="L105" t="s">
        <v>190</v>
      </c>
      <c r="M105" t="s">
        <v>49</v>
      </c>
    </row>
    <row r="106" spans="9:13">
      <c r="I106" s="4" t="s">
        <v>117</v>
      </c>
      <c r="J106" s="4" t="s">
        <v>50</v>
      </c>
      <c r="L106" t="s">
        <v>190</v>
      </c>
      <c r="M106" t="s">
        <v>84</v>
      </c>
    </row>
    <row r="107" spans="9:13">
      <c r="I107" s="4" t="s">
        <v>117</v>
      </c>
      <c r="J107" s="4" t="s">
        <v>49</v>
      </c>
    </row>
    <row r="108" spans="9:13">
      <c r="I108" s="3" t="s">
        <v>121</v>
      </c>
      <c r="J108" s="3" t="s">
        <v>192</v>
      </c>
      <c r="L108" t="s">
        <v>193</v>
      </c>
      <c r="M108" t="s">
        <v>192</v>
      </c>
    </row>
    <row r="109" spans="9:13">
      <c r="I109" s="3" t="s">
        <v>121</v>
      </c>
      <c r="J109" s="3" t="s">
        <v>194</v>
      </c>
      <c r="L109" t="s">
        <v>193</v>
      </c>
      <c r="M109" t="s">
        <v>194</v>
      </c>
    </row>
    <row r="110" spans="9:13">
      <c r="I110" s="3" t="s">
        <v>121</v>
      </c>
      <c r="J110" s="3" t="s">
        <v>195</v>
      </c>
      <c r="L110" t="s">
        <v>193</v>
      </c>
      <c r="M110" t="s">
        <v>195</v>
      </c>
    </row>
    <row r="111" spans="9:13">
      <c r="I111" s="3" t="s">
        <v>121</v>
      </c>
      <c r="J111" s="3" t="s">
        <v>196</v>
      </c>
      <c r="L111" t="s">
        <v>193</v>
      </c>
      <c r="M111" t="s">
        <v>196</v>
      </c>
    </row>
    <row r="112" spans="9:13">
      <c r="I112" s="3" t="s">
        <v>121</v>
      </c>
      <c r="J112" s="3" t="s">
        <v>197</v>
      </c>
      <c r="L112" t="s">
        <v>193</v>
      </c>
      <c r="M112" t="s">
        <v>197</v>
      </c>
    </row>
    <row r="113" spans="9:13">
      <c r="I113" s="3" t="s">
        <v>121</v>
      </c>
      <c r="J113" s="3" t="s">
        <v>198</v>
      </c>
      <c r="L113" t="s">
        <v>193</v>
      </c>
      <c r="M113" t="s">
        <v>198</v>
      </c>
    </row>
    <row r="114" spans="9:13">
      <c r="I114" s="3" t="s">
        <v>121</v>
      </c>
      <c r="J114" s="3" t="s">
        <v>199</v>
      </c>
      <c r="L114" t="s">
        <v>193</v>
      </c>
      <c r="M114" t="s">
        <v>199</v>
      </c>
    </row>
    <row r="115" spans="9:13">
      <c r="I115" s="3" t="s">
        <v>121</v>
      </c>
      <c r="J115" s="3" t="s">
        <v>159</v>
      </c>
      <c r="L115" t="s">
        <v>193</v>
      </c>
      <c r="M115" t="s">
        <v>159</v>
      </c>
    </row>
    <row r="116" spans="9:13">
      <c r="I116" s="3" t="s">
        <v>121</v>
      </c>
      <c r="J116" s="3" t="s">
        <v>200</v>
      </c>
      <c r="L116" t="s">
        <v>193</v>
      </c>
      <c r="M116" t="s">
        <v>200</v>
      </c>
    </row>
    <row r="117" spans="9:13">
      <c r="I117" s="3" t="s">
        <v>121</v>
      </c>
      <c r="J117" s="3" t="s">
        <v>71</v>
      </c>
      <c r="L117" t="s">
        <v>193</v>
      </c>
      <c r="M117" t="s">
        <v>71</v>
      </c>
    </row>
    <row r="118" spans="9:13">
      <c r="I118" s="3" t="s">
        <v>121</v>
      </c>
      <c r="J118" s="3" t="s">
        <v>139</v>
      </c>
      <c r="L118" t="s">
        <v>193</v>
      </c>
      <c r="M118" t="s">
        <v>139</v>
      </c>
    </row>
    <row r="119" spans="9:13">
      <c r="I119" s="3" t="s">
        <v>121</v>
      </c>
      <c r="J119" s="3" t="s">
        <v>191</v>
      </c>
      <c r="L119" t="s">
        <v>193</v>
      </c>
      <c r="M119" t="s">
        <v>191</v>
      </c>
    </row>
    <row r="120" spans="9:13">
      <c r="I120" s="3" t="s">
        <v>121</v>
      </c>
      <c r="J120" s="3" t="s">
        <v>49</v>
      </c>
      <c r="L120" t="s">
        <v>193</v>
      </c>
      <c r="M120" t="s">
        <v>49</v>
      </c>
    </row>
    <row r="121" spans="9:13">
      <c r="I121" s="3" t="s">
        <v>121</v>
      </c>
      <c r="J121" s="3" t="s">
        <v>84</v>
      </c>
      <c r="L121" t="s">
        <v>193</v>
      </c>
      <c r="M121" t="s">
        <v>84</v>
      </c>
    </row>
    <row r="122" spans="9:13">
      <c r="I122" s="4" t="s">
        <v>124</v>
      </c>
      <c r="J122" s="4" t="s">
        <v>192</v>
      </c>
      <c r="L122" t="s">
        <v>201</v>
      </c>
      <c r="M122" t="s">
        <v>192</v>
      </c>
    </row>
    <row r="123" spans="9:13">
      <c r="I123" s="4" t="s">
        <v>124</v>
      </c>
      <c r="J123" s="4" t="s">
        <v>194</v>
      </c>
      <c r="L123" t="s">
        <v>201</v>
      </c>
      <c r="M123" t="s">
        <v>194</v>
      </c>
    </row>
    <row r="124" spans="9:13">
      <c r="I124" s="4" t="s">
        <v>124</v>
      </c>
      <c r="J124" s="4" t="s">
        <v>202</v>
      </c>
      <c r="L124" t="s">
        <v>201</v>
      </c>
      <c r="M124" t="s">
        <v>202</v>
      </c>
    </row>
    <row r="125" spans="9:13">
      <c r="I125" s="4" t="s">
        <v>124</v>
      </c>
      <c r="J125" s="4" t="s">
        <v>203</v>
      </c>
      <c r="L125" t="s">
        <v>201</v>
      </c>
      <c r="M125" t="s">
        <v>203</v>
      </c>
    </row>
    <row r="126" spans="9:13">
      <c r="I126" s="4" t="s">
        <v>124</v>
      </c>
      <c r="J126" s="4" t="s">
        <v>195</v>
      </c>
      <c r="L126" t="s">
        <v>201</v>
      </c>
      <c r="M126" t="s">
        <v>195</v>
      </c>
    </row>
    <row r="127" spans="9:13">
      <c r="I127" s="4" t="s">
        <v>124</v>
      </c>
      <c r="J127" s="4" t="s">
        <v>71</v>
      </c>
      <c r="L127" t="s">
        <v>201</v>
      </c>
      <c r="M127" t="s">
        <v>71</v>
      </c>
    </row>
    <row r="128" spans="9:13">
      <c r="I128" s="4" t="s">
        <v>124</v>
      </c>
      <c r="J128" s="4" t="s">
        <v>204</v>
      </c>
      <c r="L128" t="s">
        <v>201</v>
      </c>
      <c r="M128" t="s">
        <v>204</v>
      </c>
    </row>
    <row r="129" spans="9:13">
      <c r="I129" s="4" t="s">
        <v>124</v>
      </c>
      <c r="J129" s="4" t="s">
        <v>196</v>
      </c>
      <c r="L129" t="s">
        <v>201</v>
      </c>
      <c r="M129" t="s">
        <v>196</v>
      </c>
    </row>
    <row r="130" spans="9:13">
      <c r="I130" s="4" t="s">
        <v>124</v>
      </c>
      <c r="J130" s="4" t="s">
        <v>197</v>
      </c>
      <c r="L130" t="s">
        <v>201</v>
      </c>
      <c r="M130" t="s">
        <v>197</v>
      </c>
    </row>
    <row r="131" spans="9:13">
      <c r="I131" s="4" t="s">
        <v>124</v>
      </c>
      <c r="J131" s="4" t="s">
        <v>198</v>
      </c>
      <c r="L131" t="s">
        <v>201</v>
      </c>
      <c r="M131" t="s">
        <v>198</v>
      </c>
    </row>
    <row r="132" spans="9:13">
      <c r="I132" s="4" t="s">
        <v>124</v>
      </c>
      <c r="J132" s="4" t="s">
        <v>199</v>
      </c>
      <c r="L132" t="s">
        <v>201</v>
      </c>
      <c r="M132" t="s">
        <v>199</v>
      </c>
    </row>
    <row r="133" spans="9:13">
      <c r="I133" s="4" t="s">
        <v>124</v>
      </c>
      <c r="J133" s="4" t="s">
        <v>159</v>
      </c>
      <c r="L133" t="s">
        <v>201</v>
      </c>
      <c r="M133" t="s">
        <v>159</v>
      </c>
    </row>
    <row r="134" spans="9:13">
      <c r="I134" s="4" t="s">
        <v>124</v>
      </c>
      <c r="J134" s="4" t="s">
        <v>205</v>
      </c>
      <c r="L134" t="s">
        <v>201</v>
      </c>
      <c r="M134" t="s">
        <v>205</v>
      </c>
    </row>
    <row r="135" spans="9:13">
      <c r="I135" s="4" t="s">
        <v>124</v>
      </c>
      <c r="J135" s="4" t="s">
        <v>200</v>
      </c>
      <c r="L135" t="s">
        <v>201</v>
      </c>
      <c r="M135" t="s">
        <v>200</v>
      </c>
    </row>
    <row r="136" spans="9:13">
      <c r="I136" s="4" t="s">
        <v>124</v>
      </c>
      <c r="J136" s="4" t="s">
        <v>49</v>
      </c>
      <c r="L136" t="s">
        <v>201</v>
      </c>
      <c r="M136" t="s">
        <v>49</v>
      </c>
    </row>
    <row r="137" spans="9:13">
      <c r="I137" s="3" t="s">
        <v>126</v>
      </c>
      <c r="J137" s="3" t="s">
        <v>206</v>
      </c>
      <c r="L137" t="s">
        <v>207</v>
      </c>
      <c r="M137" t="s">
        <v>206</v>
      </c>
    </row>
    <row r="138" spans="9:13">
      <c r="I138" s="3" t="s">
        <v>126</v>
      </c>
      <c r="J138" s="3" t="s">
        <v>208</v>
      </c>
      <c r="L138" t="s">
        <v>207</v>
      </c>
      <c r="M138" t="s">
        <v>208</v>
      </c>
    </row>
    <row r="139" spans="9:13">
      <c r="I139" s="3" t="s">
        <v>126</v>
      </c>
      <c r="J139" s="3" t="s">
        <v>158</v>
      </c>
      <c r="L139" t="s">
        <v>207</v>
      </c>
      <c r="M139" t="s">
        <v>158</v>
      </c>
    </row>
    <row r="140" spans="9:13">
      <c r="I140" s="3" t="s">
        <v>126</v>
      </c>
      <c r="J140" s="3" t="s">
        <v>209</v>
      </c>
      <c r="L140" t="s">
        <v>207</v>
      </c>
      <c r="M140" t="s">
        <v>209</v>
      </c>
    </row>
    <row r="141" spans="9:13">
      <c r="I141" s="3" t="s">
        <v>126</v>
      </c>
      <c r="J141" s="3" t="s">
        <v>165</v>
      </c>
      <c r="L141" t="s">
        <v>207</v>
      </c>
      <c r="M141" t="s">
        <v>165</v>
      </c>
    </row>
    <row r="142" spans="9:13">
      <c r="I142" s="3" t="s">
        <v>126</v>
      </c>
      <c r="J142" s="3" t="s">
        <v>210</v>
      </c>
      <c r="L142" t="s">
        <v>207</v>
      </c>
      <c r="M142" t="s">
        <v>210</v>
      </c>
    </row>
    <row r="143" spans="9:13">
      <c r="I143" s="3" t="s">
        <v>126</v>
      </c>
      <c r="J143" s="3" t="s">
        <v>40</v>
      </c>
      <c r="L143" t="s">
        <v>207</v>
      </c>
      <c r="M143" t="s">
        <v>40</v>
      </c>
    </row>
    <row r="144" spans="9:13">
      <c r="I144" s="3" t="s">
        <v>126</v>
      </c>
      <c r="J144" s="3" t="s">
        <v>44</v>
      </c>
      <c r="L144" t="s">
        <v>207</v>
      </c>
      <c r="M144" t="s">
        <v>44</v>
      </c>
    </row>
    <row r="145" spans="9:13">
      <c r="I145" s="3" t="s">
        <v>126</v>
      </c>
      <c r="J145" s="3" t="s">
        <v>47</v>
      </c>
      <c r="L145" t="s">
        <v>207</v>
      </c>
      <c r="M145" t="s">
        <v>47</v>
      </c>
    </row>
    <row r="146" spans="9:13">
      <c r="I146" s="3" t="s">
        <v>126</v>
      </c>
      <c r="J146" s="3" t="s">
        <v>49</v>
      </c>
      <c r="L146" t="s">
        <v>207</v>
      </c>
      <c r="M146" t="s">
        <v>49</v>
      </c>
    </row>
    <row r="147" spans="9:13">
      <c r="I147" s="3" t="s">
        <v>126</v>
      </c>
      <c r="J147" s="3" t="s">
        <v>84</v>
      </c>
      <c r="L147" t="s">
        <v>207</v>
      </c>
      <c r="M147" t="s">
        <v>84</v>
      </c>
    </row>
    <row r="148" spans="9:13">
      <c r="I148" s="3" t="s">
        <v>126</v>
      </c>
      <c r="J148" s="3" t="s">
        <v>50</v>
      </c>
    </row>
    <row r="149" spans="9:13">
      <c r="I149" s="4" t="s">
        <v>128</v>
      </c>
      <c r="J149" s="4" t="s">
        <v>119</v>
      </c>
      <c r="L149" t="s">
        <v>211</v>
      </c>
      <c r="M149" t="s">
        <v>119</v>
      </c>
    </row>
    <row r="150" spans="9:13">
      <c r="I150" s="4" t="s">
        <v>128</v>
      </c>
      <c r="J150" s="4" t="s">
        <v>40</v>
      </c>
      <c r="L150" t="s">
        <v>211</v>
      </c>
      <c r="M150" t="s">
        <v>40</v>
      </c>
    </row>
    <row r="151" spans="9:13">
      <c r="I151" s="4" t="s">
        <v>128</v>
      </c>
      <c r="J151" s="4" t="s">
        <v>44</v>
      </c>
      <c r="L151" t="s">
        <v>211</v>
      </c>
      <c r="M151" t="s">
        <v>44</v>
      </c>
    </row>
    <row r="152" spans="9:13">
      <c r="I152" s="4" t="s">
        <v>128</v>
      </c>
      <c r="J152" s="4" t="s">
        <v>47</v>
      </c>
      <c r="L152" t="s">
        <v>211</v>
      </c>
      <c r="M152" t="s">
        <v>47</v>
      </c>
    </row>
    <row r="153" spans="9:13">
      <c r="I153" s="4" t="s">
        <v>128</v>
      </c>
      <c r="J153" s="4" t="s">
        <v>49</v>
      </c>
      <c r="L153" t="s">
        <v>211</v>
      </c>
      <c r="M153" t="s">
        <v>49</v>
      </c>
    </row>
    <row r="154" spans="9:13">
      <c r="I154" s="4" t="s">
        <v>128</v>
      </c>
      <c r="J154" s="4" t="s">
        <v>50</v>
      </c>
    </row>
    <row r="155" spans="9:13">
      <c r="I155" s="3" t="s">
        <v>130</v>
      </c>
      <c r="J155" s="3" t="s">
        <v>119</v>
      </c>
      <c r="L155" t="s">
        <v>212</v>
      </c>
      <c r="M155" t="s">
        <v>119</v>
      </c>
    </row>
    <row r="156" spans="9:13">
      <c r="I156" s="3" t="s">
        <v>130</v>
      </c>
      <c r="J156" s="3" t="s">
        <v>40</v>
      </c>
      <c r="L156" t="s">
        <v>212</v>
      </c>
      <c r="M156" t="s">
        <v>40</v>
      </c>
    </row>
    <row r="157" spans="9:13">
      <c r="I157" s="3" t="s">
        <v>130</v>
      </c>
      <c r="J157" s="3" t="s">
        <v>44</v>
      </c>
      <c r="L157" t="s">
        <v>212</v>
      </c>
      <c r="M157" t="s">
        <v>44</v>
      </c>
    </row>
    <row r="158" spans="9:13">
      <c r="I158" s="3" t="s">
        <v>130</v>
      </c>
      <c r="J158" s="3" t="s">
        <v>47</v>
      </c>
      <c r="L158" t="s">
        <v>212</v>
      </c>
      <c r="M158" t="s">
        <v>47</v>
      </c>
    </row>
    <row r="159" spans="9:13">
      <c r="I159" s="3" t="s">
        <v>130</v>
      </c>
      <c r="J159" s="3" t="s">
        <v>49</v>
      </c>
      <c r="L159" t="s">
        <v>212</v>
      </c>
      <c r="M159" t="s">
        <v>49</v>
      </c>
    </row>
    <row r="160" spans="9:13">
      <c r="I160" s="3" t="s">
        <v>130</v>
      </c>
      <c r="J160" s="3" t="s">
        <v>50</v>
      </c>
    </row>
    <row r="161" spans="9:13">
      <c r="I161" s="4" t="s">
        <v>142</v>
      </c>
      <c r="J161" s="4" t="s">
        <v>213</v>
      </c>
      <c r="L161" t="s">
        <v>214</v>
      </c>
      <c r="M161" t="s">
        <v>213</v>
      </c>
    </row>
    <row r="162" spans="9:13">
      <c r="I162" s="3" t="s">
        <v>144</v>
      </c>
      <c r="J162" s="3" t="s">
        <v>215</v>
      </c>
      <c r="L162" t="s">
        <v>216</v>
      </c>
      <c r="M162" t="s">
        <v>215</v>
      </c>
    </row>
    <row r="163" spans="9:13">
      <c r="I163" s="4" t="s">
        <v>103</v>
      </c>
      <c r="J163" s="4" t="s">
        <v>192</v>
      </c>
      <c r="L163" t="s">
        <v>103</v>
      </c>
      <c r="M163" t="s">
        <v>192</v>
      </c>
    </row>
    <row r="164" spans="9:13">
      <c r="I164" s="4" t="s">
        <v>103</v>
      </c>
      <c r="J164" s="4" t="s">
        <v>217</v>
      </c>
      <c r="L164" t="s">
        <v>103</v>
      </c>
      <c r="M164" t="s">
        <v>218</v>
      </c>
    </row>
    <row r="165" spans="9:13">
      <c r="I165" s="4" t="s">
        <v>103</v>
      </c>
      <c r="J165" s="4" t="s">
        <v>80</v>
      </c>
      <c r="L165" t="s">
        <v>103</v>
      </c>
      <c r="M165" t="s">
        <v>217</v>
      </c>
    </row>
    <row r="166" spans="9:13">
      <c r="I166" s="4" t="s">
        <v>103</v>
      </c>
      <c r="J166" s="4" t="s">
        <v>219</v>
      </c>
      <c r="L166" t="s">
        <v>103</v>
      </c>
      <c r="M166" t="s">
        <v>220</v>
      </c>
    </row>
    <row r="167" spans="9:13">
      <c r="I167" s="4" t="s">
        <v>103</v>
      </c>
      <c r="J167" s="4" t="s">
        <v>221</v>
      </c>
      <c r="L167" t="s">
        <v>103</v>
      </c>
      <c r="M167" t="s">
        <v>222</v>
      </c>
    </row>
    <row r="168" spans="9:13">
      <c r="I168" s="4" t="s">
        <v>103</v>
      </c>
      <c r="J168" s="4" t="s">
        <v>161</v>
      </c>
      <c r="L168" t="s">
        <v>103</v>
      </c>
      <c r="M168" t="s">
        <v>49</v>
      </c>
    </row>
    <row r="169" spans="9:13">
      <c r="I169" s="4" t="s">
        <v>103</v>
      </c>
      <c r="J169" s="4" t="s">
        <v>222</v>
      </c>
      <c r="L169" t="s">
        <v>103</v>
      </c>
      <c r="M169" t="s">
        <v>80</v>
      </c>
    </row>
    <row r="170" spans="9:13">
      <c r="I170" s="4" t="s">
        <v>103</v>
      </c>
      <c r="J170" s="4" t="s">
        <v>223</v>
      </c>
      <c r="L170" t="s">
        <v>103</v>
      </c>
      <c r="M170" t="s">
        <v>219</v>
      </c>
    </row>
    <row r="171" spans="9:13">
      <c r="I171" s="4" t="s">
        <v>103</v>
      </c>
      <c r="J171" s="4" t="s">
        <v>220</v>
      </c>
      <c r="L171" t="s">
        <v>103</v>
      </c>
      <c r="M171" t="s">
        <v>224</v>
      </c>
    </row>
    <row r="172" spans="9:13">
      <c r="I172" s="4" t="s">
        <v>103</v>
      </c>
      <c r="J172" s="4" t="s">
        <v>218</v>
      </c>
      <c r="L172" t="s">
        <v>103</v>
      </c>
      <c r="M172" t="s">
        <v>223</v>
      </c>
    </row>
    <row r="173" spans="9:13">
      <c r="I173" s="4" t="s">
        <v>103</v>
      </c>
      <c r="J173" s="4" t="s">
        <v>224</v>
      </c>
      <c r="L173" t="s">
        <v>103</v>
      </c>
      <c r="M173" t="s">
        <v>225</v>
      </c>
    </row>
    <row r="174" spans="9:13">
      <c r="I174" s="4" t="s">
        <v>103</v>
      </c>
      <c r="J174" s="4" t="s">
        <v>225</v>
      </c>
      <c r="L174" t="s">
        <v>103</v>
      </c>
      <c r="M174" t="s">
        <v>221</v>
      </c>
    </row>
    <row r="175" spans="9:13">
      <c r="I175" s="4" t="s">
        <v>103</v>
      </c>
      <c r="J175" s="4" t="s">
        <v>226</v>
      </c>
      <c r="L175" t="s">
        <v>103</v>
      </c>
      <c r="M175" t="s">
        <v>161</v>
      </c>
    </row>
    <row r="176" spans="9:13">
      <c r="I176" s="4" t="s">
        <v>103</v>
      </c>
      <c r="J176" s="4" t="s">
        <v>49</v>
      </c>
      <c r="L176" t="s">
        <v>103</v>
      </c>
      <c r="M176" t="s">
        <v>226</v>
      </c>
    </row>
    <row r="177" spans="9:13">
      <c r="I177" s="4" t="s">
        <v>103</v>
      </c>
      <c r="J177" s="4" t="s">
        <v>50</v>
      </c>
    </row>
    <row r="178" spans="9:13">
      <c r="I178" s="3" t="s">
        <v>132</v>
      </c>
      <c r="J178" s="3" t="s">
        <v>119</v>
      </c>
      <c r="L178" t="s">
        <v>227</v>
      </c>
      <c r="M178" t="s">
        <v>119</v>
      </c>
    </row>
    <row r="179" spans="9:13">
      <c r="I179" s="3" t="s">
        <v>132</v>
      </c>
      <c r="J179" s="3" t="s">
        <v>123</v>
      </c>
      <c r="L179" t="s">
        <v>227</v>
      </c>
      <c r="M179" t="s">
        <v>123</v>
      </c>
    </row>
    <row r="180" spans="9:13">
      <c r="I180" s="3" t="s">
        <v>132</v>
      </c>
      <c r="J180" s="3" t="s">
        <v>40</v>
      </c>
      <c r="L180" t="s">
        <v>227</v>
      </c>
      <c r="M180" t="s">
        <v>40</v>
      </c>
    </row>
    <row r="181" spans="9:13">
      <c r="I181" s="3" t="s">
        <v>132</v>
      </c>
      <c r="J181" s="3" t="s">
        <v>44</v>
      </c>
      <c r="L181" t="s">
        <v>227</v>
      </c>
      <c r="M181" t="s">
        <v>44</v>
      </c>
    </row>
    <row r="182" spans="9:13">
      <c r="I182" s="3" t="s">
        <v>132</v>
      </c>
      <c r="J182" s="3" t="s">
        <v>47</v>
      </c>
      <c r="L182" t="s">
        <v>227</v>
      </c>
      <c r="M182" t="s">
        <v>47</v>
      </c>
    </row>
    <row r="183" spans="9:13">
      <c r="I183" s="3" t="s">
        <v>132</v>
      </c>
      <c r="J183" s="3" t="s">
        <v>49</v>
      </c>
      <c r="L183" t="s">
        <v>227</v>
      </c>
      <c r="M183" t="s">
        <v>49</v>
      </c>
    </row>
    <row r="184" spans="9:13">
      <c r="I184" s="3" t="s">
        <v>132</v>
      </c>
      <c r="J184" s="3" t="s">
        <v>50</v>
      </c>
    </row>
    <row r="185" spans="9:13">
      <c r="I185" s="4" t="s">
        <v>146</v>
      </c>
      <c r="J185" s="4" t="s">
        <v>228</v>
      </c>
      <c r="L185" t="s">
        <v>229</v>
      </c>
      <c r="M185" t="s">
        <v>228</v>
      </c>
    </row>
    <row r="186" spans="9:13">
      <c r="I186" s="4" t="s">
        <v>146</v>
      </c>
      <c r="J186" s="4" t="s">
        <v>230</v>
      </c>
      <c r="L186" t="s">
        <v>229</v>
      </c>
      <c r="M186" t="s">
        <v>230</v>
      </c>
    </row>
    <row r="187" spans="9:13">
      <c r="I187" s="3" t="s">
        <v>134</v>
      </c>
      <c r="J187" s="3" t="s">
        <v>119</v>
      </c>
      <c r="L187" t="s">
        <v>231</v>
      </c>
      <c r="M187" t="s">
        <v>119</v>
      </c>
    </row>
    <row r="188" spans="9:13">
      <c r="I188" s="3" t="s">
        <v>134</v>
      </c>
      <c r="J188" s="3" t="s">
        <v>123</v>
      </c>
      <c r="L188" t="s">
        <v>231</v>
      </c>
      <c r="M188" t="s">
        <v>123</v>
      </c>
    </row>
    <row r="189" spans="9:13">
      <c r="I189" s="3" t="s">
        <v>134</v>
      </c>
      <c r="J189" s="3" t="s">
        <v>40</v>
      </c>
      <c r="L189" t="s">
        <v>231</v>
      </c>
      <c r="M189" t="s">
        <v>40</v>
      </c>
    </row>
    <row r="190" spans="9:13">
      <c r="I190" s="3" t="s">
        <v>134</v>
      </c>
      <c r="J190" s="3" t="s">
        <v>44</v>
      </c>
      <c r="L190" t="s">
        <v>231</v>
      </c>
      <c r="M190" t="s">
        <v>44</v>
      </c>
    </row>
    <row r="191" spans="9:13">
      <c r="I191" s="3" t="s">
        <v>134</v>
      </c>
      <c r="J191" s="3" t="s">
        <v>47</v>
      </c>
      <c r="L191" t="s">
        <v>231</v>
      </c>
      <c r="M191" t="s">
        <v>47</v>
      </c>
    </row>
    <row r="192" spans="9:13">
      <c r="I192" s="3" t="s">
        <v>134</v>
      </c>
      <c r="J192" s="3" t="s">
        <v>49</v>
      </c>
      <c r="L192" t="s">
        <v>231</v>
      </c>
      <c r="M192" t="s">
        <v>49</v>
      </c>
    </row>
    <row r="193" spans="9:13">
      <c r="I193" s="3" t="s">
        <v>134</v>
      </c>
      <c r="J193" s="3" t="s">
        <v>50</v>
      </c>
    </row>
    <row r="194" spans="9:13">
      <c r="I194" s="4" t="s">
        <v>137</v>
      </c>
      <c r="J194" s="4" t="s">
        <v>40</v>
      </c>
      <c r="L194" t="s">
        <v>232</v>
      </c>
      <c r="M194" t="s">
        <v>40</v>
      </c>
    </row>
    <row r="195" spans="9:13">
      <c r="I195" s="4" t="s">
        <v>137</v>
      </c>
      <c r="J195" s="3" t="s">
        <v>233</v>
      </c>
      <c r="L195" t="s">
        <v>232</v>
      </c>
      <c r="M195" t="s">
        <v>44</v>
      </c>
    </row>
    <row r="196" spans="9:13">
      <c r="I196" s="4" t="s">
        <v>137</v>
      </c>
      <c r="J196" s="4" t="s">
        <v>44</v>
      </c>
      <c r="L196" t="s">
        <v>232</v>
      </c>
      <c r="M196" t="s">
        <v>47</v>
      </c>
    </row>
    <row r="197" spans="9:13">
      <c r="I197" s="4" t="s">
        <v>137</v>
      </c>
      <c r="J197" s="4" t="s">
        <v>47</v>
      </c>
      <c r="L197" t="s">
        <v>232</v>
      </c>
      <c r="M197" t="s">
        <v>49</v>
      </c>
    </row>
    <row r="198" spans="9:13">
      <c r="I198" s="4" t="s">
        <v>137</v>
      </c>
      <c r="J198" s="4" t="s">
        <v>49</v>
      </c>
    </row>
    <row r="199" spans="9:13">
      <c r="I199" s="4" t="s">
        <v>137</v>
      </c>
      <c r="J199" s="4" t="s">
        <v>50</v>
      </c>
    </row>
    <row r="200" spans="9:13">
      <c r="I200" s="13" t="s">
        <v>140</v>
      </c>
      <c r="J200" s="13" t="s">
        <v>234</v>
      </c>
      <c r="L200" t="s">
        <v>235</v>
      </c>
      <c r="M200" t="s">
        <v>234</v>
      </c>
    </row>
    <row r="201" spans="9:13">
      <c r="I201" s="13" t="s">
        <v>140</v>
      </c>
      <c r="J201" s="13" t="s">
        <v>236</v>
      </c>
      <c r="L201" t="s">
        <v>235</v>
      </c>
      <c r="M201" t="s">
        <v>236</v>
      </c>
    </row>
    <row r="202" spans="9:13">
      <c r="I202" s="13" t="s">
        <v>140</v>
      </c>
      <c r="J202" s="13" t="s">
        <v>237</v>
      </c>
      <c r="L202" t="s">
        <v>235</v>
      </c>
      <c r="M202" t="s">
        <v>237</v>
      </c>
    </row>
    <row r="203" spans="9:13">
      <c r="I203" s="13" t="s">
        <v>140</v>
      </c>
      <c r="J203" s="13" t="s">
        <v>238</v>
      </c>
      <c r="L203" t="s">
        <v>235</v>
      </c>
      <c r="M203" t="s">
        <v>238</v>
      </c>
    </row>
    <row r="204" spans="9:13">
      <c r="I204" s="13" t="s">
        <v>140</v>
      </c>
      <c r="J204" s="13" t="s">
        <v>239</v>
      </c>
      <c r="L204" t="s">
        <v>235</v>
      </c>
      <c r="M204" t="s">
        <v>239</v>
      </c>
    </row>
    <row r="205" spans="9:13">
      <c r="I205" s="13" t="s">
        <v>140</v>
      </c>
      <c r="J205" s="13" t="s">
        <v>240</v>
      </c>
      <c r="L205" t="s">
        <v>235</v>
      </c>
      <c r="M205" t="s">
        <v>240</v>
      </c>
    </row>
    <row r="206" spans="9:13">
      <c r="I206" s="4" t="s">
        <v>148</v>
      </c>
      <c r="J206" s="4" t="s">
        <v>119</v>
      </c>
      <c r="L206" t="s">
        <v>241</v>
      </c>
      <c r="M206" t="s">
        <v>119</v>
      </c>
    </row>
    <row r="207" spans="9:13">
      <c r="I207" s="4" t="s">
        <v>148</v>
      </c>
      <c r="J207" s="4" t="s">
        <v>242</v>
      </c>
      <c r="L207" t="s">
        <v>241</v>
      </c>
      <c r="M207" t="s">
        <v>242</v>
      </c>
    </row>
    <row r="208" spans="9:13">
      <c r="I208" s="4" t="s">
        <v>148</v>
      </c>
      <c r="J208" s="4" t="s">
        <v>243</v>
      </c>
      <c r="L208" t="s">
        <v>241</v>
      </c>
      <c r="M208" t="s">
        <v>243</v>
      </c>
    </row>
    <row r="209" spans="9:13">
      <c r="I209" s="4" t="s">
        <v>148</v>
      </c>
      <c r="J209" s="4" t="s">
        <v>244</v>
      </c>
      <c r="L209" t="s">
        <v>241</v>
      </c>
      <c r="M209" t="s">
        <v>244</v>
      </c>
    </row>
    <row r="210" spans="9:13">
      <c r="I210" s="4" t="s">
        <v>148</v>
      </c>
      <c r="J210" s="4" t="s">
        <v>44</v>
      </c>
      <c r="L210" t="s">
        <v>241</v>
      </c>
      <c r="M210" t="s">
        <v>44</v>
      </c>
    </row>
    <row r="211" spans="9:13">
      <c r="I211" s="4" t="s">
        <v>148</v>
      </c>
      <c r="J211" s="4" t="s">
        <v>47</v>
      </c>
      <c r="L211" t="s">
        <v>241</v>
      </c>
      <c r="M211" t="s">
        <v>47</v>
      </c>
    </row>
    <row r="212" spans="9:13">
      <c r="I212" s="4" t="s">
        <v>148</v>
      </c>
      <c r="J212" s="4" t="s">
        <v>245</v>
      </c>
      <c r="L212" t="s">
        <v>241</v>
      </c>
      <c r="M212" t="s">
        <v>245</v>
      </c>
    </row>
    <row r="213" spans="9:13">
      <c r="I213" s="4" t="s">
        <v>148</v>
      </c>
      <c r="J213" s="4" t="s">
        <v>49</v>
      </c>
      <c r="L213" t="s">
        <v>241</v>
      </c>
      <c r="M213" t="s">
        <v>246</v>
      </c>
    </row>
    <row r="214" spans="9:13">
      <c r="I214" s="4" t="s">
        <v>148</v>
      </c>
      <c r="J214" s="4" t="s">
        <v>50</v>
      </c>
    </row>
    <row r="215" spans="9:13">
      <c r="I215" s="3" t="s">
        <v>150</v>
      </c>
      <c r="J215" s="3" t="s">
        <v>205</v>
      </c>
      <c r="L215" t="s">
        <v>150</v>
      </c>
      <c r="M215" t="s">
        <v>205</v>
      </c>
    </row>
    <row r="216" spans="9:13">
      <c r="I216" s="3" t="s">
        <v>150</v>
      </c>
      <c r="J216" s="3" t="s">
        <v>247</v>
      </c>
      <c r="L216" t="s">
        <v>150</v>
      </c>
      <c r="M216" t="s">
        <v>247</v>
      </c>
    </row>
    <row r="217" spans="9:13">
      <c r="I217" s="3" t="s">
        <v>150</v>
      </c>
      <c r="J217" s="3" t="s">
        <v>248</v>
      </c>
      <c r="L217" t="s">
        <v>150</v>
      </c>
      <c r="M217" t="s">
        <v>248</v>
      </c>
    </row>
    <row r="218" spans="9:13">
      <c r="I218" s="3" t="s">
        <v>150</v>
      </c>
      <c r="J218" s="3" t="s">
        <v>60</v>
      </c>
      <c r="L218" t="s">
        <v>150</v>
      </c>
      <c r="M218" t="s">
        <v>60</v>
      </c>
    </row>
    <row r="219" spans="9:13">
      <c r="I219" s="3" t="s">
        <v>150</v>
      </c>
      <c r="J219" s="3" t="s">
        <v>249</v>
      </c>
      <c r="L219" t="s">
        <v>150</v>
      </c>
      <c r="M219" t="s">
        <v>249</v>
      </c>
    </row>
    <row r="220" spans="9:13">
      <c r="I220" s="3" t="s">
        <v>150</v>
      </c>
      <c r="J220" s="3" t="s">
        <v>49</v>
      </c>
      <c r="L220" t="s">
        <v>150</v>
      </c>
      <c r="M220" t="s">
        <v>246</v>
      </c>
    </row>
    <row r="221" spans="9:13">
      <c r="I221" s="3" t="s">
        <v>150</v>
      </c>
      <c r="J221" s="3" t="s">
        <v>50</v>
      </c>
    </row>
    <row r="222" spans="9:13">
      <c r="I222" s="4" t="s">
        <v>152</v>
      </c>
      <c r="J222" s="4" t="s">
        <v>40</v>
      </c>
      <c r="L222" t="s">
        <v>152</v>
      </c>
      <c r="M222" t="s">
        <v>40</v>
      </c>
    </row>
    <row r="223" spans="9:13">
      <c r="I223" s="4" t="s">
        <v>152</v>
      </c>
      <c r="J223" s="4" t="s">
        <v>44</v>
      </c>
      <c r="L223" t="s">
        <v>152</v>
      </c>
      <c r="M223" t="s">
        <v>44</v>
      </c>
    </row>
    <row r="224" spans="9:13">
      <c r="I224" s="4" t="s">
        <v>152</v>
      </c>
      <c r="J224" s="4" t="s">
        <v>47</v>
      </c>
      <c r="L224" t="s">
        <v>152</v>
      </c>
      <c r="M224" t="s">
        <v>47</v>
      </c>
    </row>
    <row r="225" spans="9:13">
      <c r="I225" s="4" t="s">
        <v>152</v>
      </c>
      <c r="J225" s="4" t="s">
        <v>49</v>
      </c>
      <c r="L225" t="s">
        <v>152</v>
      </c>
      <c r="M225" t="s">
        <v>49</v>
      </c>
    </row>
    <row r="226" spans="9:13">
      <c r="I226" s="4" t="s">
        <v>152</v>
      </c>
      <c r="J226" s="4" t="s">
        <v>84</v>
      </c>
      <c r="L226" t="s">
        <v>152</v>
      </c>
      <c r="M226" t="s">
        <v>84</v>
      </c>
    </row>
    <row r="227" spans="9:13">
      <c r="I227" s="4" t="s">
        <v>152</v>
      </c>
      <c r="J227" s="4" t="s">
        <v>50</v>
      </c>
    </row>
    <row r="228" spans="9:13">
      <c r="I228" t="s">
        <v>99</v>
      </c>
      <c r="J228" t="s">
        <v>161</v>
      </c>
      <c r="L228" t="s">
        <v>99</v>
      </c>
      <c r="M228" t="s">
        <v>161</v>
      </c>
    </row>
    <row r="229" spans="9:13">
      <c r="I229" t="s">
        <v>99</v>
      </c>
      <c r="J229" t="s">
        <v>250</v>
      </c>
      <c r="L229" t="s">
        <v>99</v>
      </c>
      <c r="M229" t="s">
        <v>250</v>
      </c>
    </row>
    <row r="230" spans="9:13">
      <c r="I230" t="s">
        <v>99</v>
      </c>
      <c r="J230" t="s">
        <v>187</v>
      </c>
      <c r="L230" t="s">
        <v>99</v>
      </c>
      <c r="M230" t="s">
        <v>187</v>
      </c>
    </row>
    <row r="231" spans="9:13">
      <c r="I231" t="s">
        <v>99</v>
      </c>
      <c r="J231" t="s">
        <v>158</v>
      </c>
      <c r="L231" t="s">
        <v>99</v>
      </c>
      <c r="M231" t="s">
        <v>158</v>
      </c>
    </row>
    <row r="232" spans="9:13">
      <c r="I232" t="s">
        <v>99</v>
      </c>
      <c r="J232" t="s">
        <v>139</v>
      </c>
      <c r="L232" t="s">
        <v>99</v>
      </c>
      <c r="M232" t="s">
        <v>139</v>
      </c>
    </row>
    <row r="233" spans="9:13">
      <c r="I233" t="s">
        <v>99</v>
      </c>
      <c r="J233" t="s">
        <v>105</v>
      </c>
      <c r="L233" t="s">
        <v>99</v>
      </c>
      <c r="M233" t="s">
        <v>105</v>
      </c>
    </row>
    <row r="234" spans="9:13">
      <c r="I234" t="s">
        <v>99</v>
      </c>
      <c r="J234" t="s">
        <v>123</v>
      </c>
      <c r="L234" t="s">
        <v>99</v>
      </c>
      <c r="M234" t="s">
        <v>123</v>
      </c>
    </row>
    <row r="235" spans="9:13">
      <c r="I235" t="s">
        <v>99</v>
      </c>
      <c r="J235" t="s">
        <v>50</v>
      </c>
    </row>
    <row r="236" spans="9:13">
      <c r="I236" s="12" t="s">
        <v>101</v>
      </c>
      <c r="J236" s="12" t="s">
        <v>161</v>
      </c>
    </row>
    <row r="237" spans="9:13">
      <c r="I237" s="12" t="s">
        <v>101</v>
      </c>
      <c r="J237" s="12" t="s">
        <v>251</v>
      </c>
    </row>
    <row r="238" spans="9:13">
      <c r="I238" s="12" t="s">
        <v>101</v>
      </c>
      <c r="J238" s="12" t="s">
        <v>50</v>
      </c>
    </row>
    <row r="239" spans="9:13">
      <c r="I239" s="12" t="s">
        <v>101</v>
      </c>
      <c r="J239" s="12" t="s">
        <v>252</v>
      </c>
    </row>
    <row r="240" spans="9:13">
      <c r="I240" s="12" t="s">
        <v>101</v>
      </c>
      <c r="J240" s="12" t="s">
        <v>139</v>
      </c>
    </row>
    <row r="241" spans="9:10">
      <c r="I241" s="12" t="s">
        <v>101</v>
      </c>
      <c r="J241" s="12" t="s">
        <v>105</v>
      </c>
    </row>
    <row r="242" spans="9:10">
      <c r="I242" s="12" t="s">
        <v>101</v>
      </c>
      <c r="J242" s="12" t="s">
        <v>123</v>
      </c>
    </row>
    <row r="244" spans="9:10">
      <c r="I244" s="11" t="s">
        <v>160</v>
      </c>
      <c r="J244" s="10" t="s">
        <v>253</v>
      </c>
    </row>
    <row r="245" spans="9:10">
      <c r="I245" s="11" t="s">
        <v>160</v>
      </c>
      <c r="J245" s="10" t="s">
        <v>254</v>
      </c>
    </row>
    <row r="246" spans="9:10">
      <c r="I246" s="11" t="s">
        <v>160</v>
      </c>
      <c r="J246" s="10" t="s">
        <v>139</v>
      </c>
    </row>
    <row r="247" spans="9:10">
      <c r="I247" s="11" t="s">
        <v>160</v>
      </c>
      <c r="J247" s="10" t="s">
        <v>255</v>
      </c>
    </row>
    <row r="248" spans="9:10">
      <c r="I248" s="11" t="s">
        <v>160</v>
      </c>
      <c r="J248" s="10" t="s">
        <v>208</v>
      </c>
    </row>
    <row r="249" spans="9:10">
      <c r="I249" s="11" t="s">
        <v>160</v>
      </c>
      <c r="J249" s="10" t="s">
        <v>158</v>
      </c>
    </row>
    <row r="250" spans="9:10">
      <c r="I250" s="11" t="s">
        <v>160</v>
      </c>
      <c r="J250" s="10" t="s">
        <v>256</v>
      </c>
    </row>
    <row r="251" spans="9:10">
      <c r="I251" s="11" t="s">
        <v>160</v>
      </c>
      <c r="J251" s="10" t="s">
        <v>67</v>
      </c>
    </row>
    <row r="252" spans="9:10">
      <c r="I252" s="11" t="s">
        <v>160</v>
      </c>
      <c r="J252" s="10" t="s">
        <v>44</v>
      </c>
    </row>
    <row r="253" spans="9:10">
      <c r="I253" s="11" t="s">
        <v>160</v>
      </c>
      <c r="J253" s="10" t="s">
        <v>257</v>
      </c>
    </row>
    <row r="254" spans="9:10">
      <c r="I254" s="11" t="s">
        <v>160</v>
      </c>
      <c r="J254" s="10" t="s">
        <v>258</v>
      </c>
    </row>
    <row r="255" spans="9:10">
      <c r="I255" s="11" t="s">
        <v>160</v>
      </c>
      <c r="J255" s="10" t="s">
        <v>259</v>
      </c>
    </row>
    <row r="256" spans="9:10">
      <c r="I256" s="11" t="s">
        <v>160</v>
      </c>
      <c r="J256" s="10" t="s">
        <v>246</v>
      </c>
    </row>
    <row r="257" spans="9:10">
      <c r="I257" s="11" t="s">
        <v>160</v>
      </c>
      <c r="J257" s="10" t="s">
        <v>84</v>
      </c>
    </row>
    <row r="258" spans="9:10">
      <c r="I258" s="11" t="s">
        <v>160</v>
      </c>
      <c r="J258" s="10" t="s">
        <v>50</v>
      </c>
    </row>
  </sheetData>
  <sheetProtection selectLockedCells="1" selectUnlockedCells="1"/>
  <sortState xmlns:xlrd2="http://schemas.microsoft.com/office/spreadsheetml/2017/richdata2" ref="J163:J176">
    <sortCondition ref="J16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3CC6-EEA9-4431-8FC5-FEB452692EAA}">
  <dimension ref="A1:E29"/>
  <sheetViews>
    <sheetView workbookViewId="0">
      <selection activeCell="B15" sqref="B15"/>
    </sheetView>
  </sheetViews>
  <sheetFormatPr baseColWidth="10" defaultRowHeight="15"/>
  <cols>
    <col min="1" max="1" width="10" bestFit="1" customWidth="1"/>
    <col min="2" max="2" width="42.5703125" bestFit="1" customWidth="1"/>
    <col min="3" max="3" width="12" bestFit="1" customWidth="1"/>
  </cols>
  <sheetData>
    <row r="1" spans="1:5">
      <c r="A1" s="35" t="s">
        <v>272</v>
      </c>
      <c r="B1" s="35" t="s">
        <v>279</v>
      </c>
      <c r="C1" s="35" t="s">
        <v>302</v>
      </c>
      <c r="D1" s="35" t="s">
        <v>307</v>
      </c>
      <c r="E1" s="35" t="s">
        <v>305</v>
      </c>
    </row>
    <row r="2" spans="1:5">
      <c r="A2">
        <v>132319022</v>
      </c>
      <c r="B2" t="s">
        <v>276</v>
      </c>
      <c r="C2" s="36">
        <v>178448838</v>
      </c>
      <c r="D2">
        <v>12</v>
      </c>
      <c r="E2" t="s">
        <v>306</v>
      </c>
    </row>
    <row r="3" spans="1:5">
      <c r="A3">
        <v>138827399</v>
      </c>
      <c r="B3" t="s">
        <v>267</v>
      </c>
      <c r="C3" s="36">
        <v>16700304</v>
      </c>
      <c r="D3">
        <v>28</v>
      </c>
      <c r="E3" t="s">
        <v>308</v>
      </c>
    </row>
    <row r="4" spans="1:5">
      <c r="A4">
        <v>141203827</v>
      </c>
      <c r="B4" t="s">
        <v>278</v>
      </c>
      <c r="C4" s="36">
        <v>70305739</v>
      </c>
      <c r="D4">
        <v>37</v>
      </c>
      <c r="E4" t="s">
        <v>309</v>
      </c>
    </row>
    <row r="5" spans="1:5">
      <c r="A5">
        <v>177037664</v>
      </c>
      <c r="B5" t="s">
        <v>274</v>
      </c>
      <c r="C5" s="36">
        <v>17293104</v>
      </c>
      <c r="D5">
        <v>1</v>
      </c>
      <c r="E5" t="s">
        <v>310</v>
      </c>
    </row>
    <row r="6" spans="1:5">
      <c r="A6">
        <v>760262706</v>
      </c>
      <c r="B6" t="s">
        <v>266</v>
      </c>
      <c r="C6" s="36">
        <v>63658030</v>
      </c>
      <c r="D6">
        <v>37</v>
      </c>
      <c r="E6" t="s">
        <v>311</v>
      </c>
    </row>
    <row r="7" spans="1:5">
      <c r="A7">
        <v>760625302</v>
      </c>
      <c r="B7" t="s">
        <v>275</v>
      </c>
      <c r="C7" s="36">
        <v>1580441805</v>
      </c>
      <c r="D7">
        <v>1</v>
      </c>
      <c r="E7" t="s">
        <v>312</v>
      </c>
    </row>
    <row r="8" spans="1:5">
      <c r="A8">
        <v>761872877</v>
      </c>
      <c r="B8" t="s">
        <v>273</v>
      </c>
      <c r="C8" s="36">
        <v>66655385</v>
      </c>
      <c r="D8">
        <v>37</v>
      </c>
      <c r="E8" t="s">
        <v>313</v>
      </c>
    </row>
    <row r="9" spans="1:5">
      <c r="A9">
        <v>763431789</v>
      </c>
      <c r="B9" t="s">
        <v>314</v>
      </c>
      <c r="C9" s="36">
        <v>36071858523</v>
      </c>
      <c r="D9">
        <v>12</v>
      </c>
      <c r="E9" t="s">
        <v>315</v>
      </c>
    </row>
    <row r="10" spans="1:5">
      <c r="A10">
        <v>764225864</v>
      </c>
      <c r="B10" t="s">
        <v>277</v>
      </c>
      <c r="C10" s="36">
        <v>201758901</v>
      </c>
      <c r="D10">
        <v>49</v>
      </c>
      <c r="E10" t="s">
        <v>316</v>
      </c>
    </row>
    <row r="11" spans="1:5">
      <c r="A11">
        <v>764625463</v>
      </c>
      <c r="B11" t="s">
        <v>265</v>
      </c>
      <c r="C11" s="36">
        <v>8810457408</v>
      </c>
      <c r="D11">
        <v>1</v>
      </c>
      <c r="E11" t="s">
        <v>317</v>
      </c>
    </row>
    <row r="12" spans="1:5">
      <c r="A12">
        <v>766972365</v>
      </c>
      <c r="B12" t="s">
        <v>318</v>
      </c>
      <c r="C12" s="36">
        <v>74151477</v>
      </c>
      <c r="D12">
        <v>37</v>
      </c>
      <c r="E12" t="s">
        <v>319</v>
      </c>
    </row>
    <row r="13" spans="1:5">
      <c r="A13">
        <v>768784760</v>
      </c>
      <c r="B13" t="s">
        <v>264</v>
      </c>
      <c r="C13" s="36">
        <v>220494831</v>
      </c>
      <c r="D13">
        <v>39</v>
      </c>
      <c r="E13" t="s">
        <v>320</v>
      </c>
    </row>
    <row r="14" spans="1:5">
      <c r="A14">
        <v>769341382</v>
      </c>
      <c r="B14" t="s">
        <v>269</v>
      </c>
      <c r="C14" s="36">
        <v>27002455</v>
      </c>
      <c r="D14">
        <v>28</v>
      </c>
      <c r="E14" t="s">
        <v>321</v>
      </c>
    </row>
    <row r="15" spans="1:5">
      <c r="A15">
        <v>769696385</v>
      </c>
      <c r="B15" t="s">
        <v>268</v>
      </c>
      <c r="C15" s="36">
        <v>11004741</v>
      </c>
      <c r="D15">
        <v>28</v>
      </c>
      <c r="E15" t="s">
        <v>322</v>
      </c>
    </row>
    <row r="16" spans="1:5">
      <c r="A16">
        <v>770846528</v>
      </c>
      <c r="B16" t="s">
        <v>323</v>
      </c>
      <c r="C16" s="36">
        <v>28000995</v>
      </c>
      <c r="D16">
        <v>28</v>
      </c>
      <c r="E16" t="s">
        <v>324</v>
      </c>
    </row>
    <row r="17" spans="1:5">
      <c r="A17">
        <v>771193986</v>
      </c>
      <c r="B17" t="s">
        <v>325</v>
      </c>
      <c r="C17" s="36">
        <v>11787198</v>
      </c>
      <c r="D17">
        <v>16</v>
      </c>
      <c r="E17" t="s">
        <v>326</v>
      </c>
    </row>
    <row r="18" spans="1:5">
      <c r="A18">
        <v>785512502</v>
      </c>
      <c r="B18" t="s">
        <v>271</v>
      </c>
      <c r="C18" s="36">
        <v>364622</v>
      </c>
      <c r="D18">
        <v>37</v>
      </c>
      <c r="E18" t="s">
        <v>327</v>
      </c>
    </row>
    <row r="19" spans="1:5">
      <c r="A19">
        <v>788966504</v>
      </c>
      <c r="B19" t="s">
        <v>328</v>
      </c>
      <c r="C19" s="36">
        <v>5165326</v>
      </c>
      <c r="D19">
        <v>37</v>
      </c>
      <c r="E19" t="s">
        <v>329</v>
      </c>
    </row>
    <row r="20" spans="1:5">
      <c r="A20">
        <v>855440008</v>
      </c>
      <c r="B20" t="s">
        <v>330</v>
      </c>
      <c r="C20" s="36">
        <v>1137506</v>
      </c>
      <c r="D20">
        <v>28</v>
      </c>
      <c r="E20" t="s">
        <v>331</v>
      </c>
    </row>
    <row r="21" spans="1:5">
      <c r="A21">
        <v>858961009</v>
      </c>
      <c r="B21" t="s">
        <v>332</v>
      </c>
      <c r="C21" s="36">
        <v>166143017</v>
      </c>
      <c r="D21">
        <v>1</v>
      </c>
      <c r="E21" t="s">
        <v>333</v>
      </c>
    </row>
    <row r="22" spans="1:5">
      <c r="A22">
        <v>889836008</v>
      </c>
      <c r="B22" t="s">
        <v>334</v>
      </c>
      <c r="C22" s="36">
        <v>10277358</v>
      </c>
      <c r="D22">
        <v>16</v>
      </c>
      <c r="E22" t="s">
        <v>335</v>
      </c>
    </row>
    <row r="23" spans="1:5">
      <c r="A23">
        <v>902490000</v>
      </c>
      <c r="B23" t="s">
        <v>336</v>
      </c>
      <c r="C23" s="36">
        <v>10487336</v>
      </c>
      <c r="D23">
        <v>16</v>
      </c>
      <c r="E23" t="s">
        <v>337</v>
      </c>
    </row>
    <row r="24" spans="1:5">
      <c r="A24">
        <v>965569405</v>
      </c>
      <c r="B24" t="s">
        <v>325</v>
      </c>
      <c r="C24" s="36">
        <v>11787198</v>
      </c>
      <c r="D24">
        <v>16</v>
      </c>
      <c r="E24" t="s">
        <v>338</v>
      </c>
    </row>
    <row r="25" spans="1:5">
      <c r="A25">
        <v>965729208</v>
      </c>
      <c r="B25" t="s">
        <v>339</v>
      </c>
      <c r="C25" s="36">
        <v>10620109</v>
      </c>
      <c r="D25">
        <v>16</v>
      </c>
      <c r="E25" t="s">
        <v>337</v>
      </c>
    </row>
    <row r="26" spans="1:5">
      <c r="A26">
        <v>966435607</v>
      </c>
      <c r="B26" t="s">
        <v>340</v>
      </c>
      <c r="C26" s="36">
        <v>1791204</v>
      </c>
      <c r="D26">
        <v>1</v>
      </c>
      <c r="E26" t="s">
        <v>311</v>
      </c>
    </row>
    <row r="27" spans="1:5">
      <c r="A27">
        <v>966661402</v>
      </c>
      <c r="B27" t="s">
        <v>341</v>
      </c>
      <c r="C27" s="36">
        <v>161773032</v>
      </c>
      <c r="D27">
        <v>1</v>
      </c>
      <c r="E27" t="s">
        <v>342</v>
      </c>
    </row>
    <row r="28" spans="1:5">
      <c r="A28">
        <v>969190508</v>
      </c>
      <c r="B28" t="s">
        <v>343</v>
      </c>
      <c r="C28" s="36">
        <v>1638114</v>
      </c>
      <c r="D28">
        <v>37</v>
      </c>
      <c r="E28" t="s">
        <v>344</v>
      </c>
    </row>
    <row r="29" spans="1:5">
      <c r="A29">
        <v>992890002</v>
      </c>
      <c r="B29" t="s">
        <v>345</v>
      </c>
      <c r="C29" s="36">
        <v>2386806</v>
      </c>
      <c r="D29">
        <v>1</v>
      </c>
      <c r="E29" t="s">
        <v>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34F1-C617-4B40-B307-228DB61EBC9A}">
  <dimension ref="A1:K32"/>
  <sheetViews>
    <sheetView workbookViewId="0">
      <selection activeCell="K21" sqref="K21"/>
    </sheetView>
  </sheetViews>
  <sheetFormatPr baseColWidth="10" defaultRowHeight="15"/>
  <cols>
    <col min="5" max="5" width="15" bestFit="1" customWidth="1"/>
  </cols>
  <sheetData>
    <row r="1" spans="1:11">
      <c r="A1" t="s">
        <v>301</v>
      </c>
      <c r="B1" s="36" t="s">
        <v>272</v>
      </c>
      <c r="C1" t="s">
        <v>302</v>
      </c>
      <c r="D1" t="s">
        <v>270</v>
      </c>
      <c r="E1" t="s">
        <v>303</v>
      </c>
      <c r="J1" t="s">
        <v>304</v>
      </c>
      <c r="K1" t="s">
        <v>305</v>
      </c>
    </row>
    <row r="2" spans="1:11">
      <c r="A2" t="str">
        <f>VLOOKUP(B2,'BASE PROVEEDORES'!$A$1:$E$29,2,FALSE)</f>
        <v>AGUSTIN LARA</v>
      </c>
      <c r="B2">
        <v>132319022</v>
      </c>
      <c r="C2">
        <f>VLOOKUP(B2,'BASE PROVEEDORES'!$A$1:$E$29,3,FALSE)</f>
        <v>178448838</v>
      </c>
      <c r="E2">
        <f>VLOOKUP(B2,'BASE PROVEEDORES'!$A$1:$E$29,4,FALSE)</f>
        <v>12</v>
      </c>
      <c r="F2">
        <v>3</v>
      </c>
      <c r="G2">
        <v>0</v>
      </c>
      <c r="H2">
        <v>1</v>
      </c>
      <c r="I2">
        <v>1</v>
      </c>
      <c r="K2" t="str">
        <f>VLOOKUP(B2,'BASE PROVEEDORES'!$A$1:$E$29,5,FALSE)</f>
        <v>ALARA@VECTORCAPITAL.CL</v>
      </c>
    </row>
    <row r="3" spans="1:11">
      <c r="A3" t="e">
        <f>VLOOKUP(B3,'BASE PROVEEDORES'!$A$1:$E$29,2,FALSE)</f>
        <v>#N/A</v>
      </c>
      <c r="C3" t="e">
        <f>VLOOKUP(B3,'BASE PROVEEDORES'!$A$1:$E$29,3,FALSE)</f>
        <v>#N/A</v>
      </c>
      <c r="E3" t="e">
        <f>VLOOKUP(B3,'BASE PROVEEDORES'!$A$1:$E$29,4,FALSE)</f>
        <v>#N/A</v>
      </c>
      <c r="F3">
        <v>3</v>
      </c>
      <c r="G3">
        <v>0</v>
      </c>
      <c r="H3">
        <v>1</v>
      </c>
      <c r="I3">
        <v>1</v>
      </c>
      <c r="K3" t="e">
        <f>VLOOKUP(B3,'BASE PROVEEDORES'!$A$1:$E$29,5,FALSE)</f>
        <v>#N/A</v>
      </c>
    </row>
    <row r="4" spans="1:11">
      <c r="A4" t="e">
        <f>VLOOKUP(B4,'BASE PROVEEDORES'!$A$1:$E$29,2,FALSE)</f>
        <v>#N/A</v>
      </c>
      <c r="C4" t="e">
        <f>VLOOKUP(B4,'BASE PROVEEDORES'!$A$1:$E$29,3,FALSE)</f>
        <v>#N/A</v>
      </c>
      <c r="E4" t="e">
        <f>VLOOKUP(B4,'BASE PROVEEDORES'!$A$1:$E$29,4,FALSE)</f>
        <v>#N/A</v>
      </c>
      <c r="F4">
        <v>3</v>
      </c>
      <c r="G4">
        <v>0</v>
      </c>
      <c r="H4">
        <v>1</v>
      </c>
      <c r="I4">
        <v>1</v>
      </c>
      <c r="K4" t="e">
        <f>VLOOKUP(B4,'BASE PROVEEDORES'!$A$1:$E$29,5,FALSE)</f>
        <v>#N/A</v>
      </c>
    </row>
    <row r="5" spans="1:11">
      <c r="A5" t="e">
        <f>VLOOKUP(B5,'BASE PROVEEDORES'!$A$1:$E$29,2,FALSE)</f>
        <v>#N/A</v>
      </c>
      <c r="C5" t="e">
        <f>VLOOKUP(B5,'BASE PROVEEDORES'!$A$1:$E$29,3,FALSE)</f>
        <v>#N/A</v>
      </c>
      <c r="E5" t="e">
        <f>VLOOKUP(B5,'BASE PROVEEDORES'!$A$1:$E$29,4,FALSE)</f>
        <v>#N/A</v>
      </c>
      <c r="F5">
        <v>3</v>
      </c>
      <c r="G5">
        <v>0</v>
      </c>
      <c r="H5">
        <v>1</v>
      </c>
      <c r="I5">
        <v>1</v>
      </c>
      <c r="K5" t="e">
        <f>VLOOKUP(B5,'BASE PROVEEDORES'!$A$1:$E$29,5,FALSE)</f>
        <v>#N/A</v>
      </c>
    </row>
    <row r="6" spans="1:11">
      <c r="A6" t="e">
        <f>VLOOKUP(B6,'BASE PROVEEDORES'!$A$1:$E$29,2,FALSE)</f>
        <v>#N/A</v>
      </c>
      <c r="C6" t="e">
        <f>VLOOKUP(B6,'BASE PROVEEDORES'!$A$1:$E$29,3,FALSE)</f>
        <v>#N/A</v>
      </c>
      <c r="E6" t="e">
        <f>VLOOKUP(B6,'BASE PROVEEDORES'!$A$1:$E$29,4,FALSE)</f>
        <v>#N/A</v>
      </c>
      <c r="F6">
        <v>3</v>
      </c>
      <c r="G6">
        <v>0</v>
      </c>
      <c r="H6">
        <v>1</v>
      </c>
      <c r="I6">
        <v>1</v>
      </c>
      <c r="K6" t="e">
        <f>VLOOKUP(B6,'BASE PROVEEDORES'!$A$1:$E$29,5,FALSE)</f>
        <v>#N/A</v>
      </c>
    </row>
    <row r="7" spans="1:11">
      <c r="A7" t="e">
        <f>VLOOKUP(B7,'BASE PROVEEDORES'!$A$1:$E$29,2,FALSE)</f>
        <v>#N/A</v>
      </c>
      <c r="C7" t="e">
        <f>VLOOKUP(B7,'BASE PROVEEDORES'!$A$1:$E$29,3,FALSE)</f>
        <v>#N/A</v>
      </c>
      <c r="E7" t="e">
        <f>VLOOKUP(B7,'BASE PROVEEDORES'!$A$1:$E$29,4,FALSE)</f>
        <v>#N/A</v>
      </c>
      <c r="F7">
        <v>3</v>
      </c>
      <c r="G7">
        <v>0</v>
      </c>
      <c r="H7">
        <v>1</v>
      </c>
      <c r="I7">
        <v>1</v>
      </c>
      <c r="K7" t="e">
        <f>VLOOKUP(B7,'BASE PROVEEDORES'!$A$1:$E$29,5,FALSE)</f>
        <v>#N/A</v>
      </c>
    </row>
    <row r="8" spans="1:11">
      <c r="A8" t="e">
        <f>VLOOKUP(B8,'BASE PROVEEDORES'!$A$1:$E$29,2,FALSE)</f>
        <v>#N/A</v>
      </c>
      <c r="C8" t="e">
        <f>VLOOKUP(B8,'BASE PROVEEDORES'!$A$1:$E$29,3,FALSE)</f>
        <v>#N/A</v>
      </c>
      <c r="E8" t="e">
        <f>VLOOKUP(B8,'BASE PROVEEDORES'!$A$1:$E$29,4,FALSE)</f>
        <v>#N/A</v>
      </c>
      <c r="F8">
        <v>3</v>
      </c>
      <c r="G8">
        <v>0</v>
      </c>
      <c r="H8">
        <v>1</v>
      </c>
      <c r="I8">
        <v>1</v>
      </c>
      <c r="K8" t="e">
        <f>VLOOKUP(B8,'BASE PROVEEDORES'!$A$1:$E$29,5,FALSE)</f>
        <v>#N/A</v>
      </c>
    </row>
    <row r="9" spans="1:11">
      <c r="A9" t="e">
        <f>VLOOKUP(B9,'BASE PROVEEDORES'!$A$1:$E$29,2,FALSE)</f>
        <v>#N/A</v>
      </c>
      <c r="C9" t="e">
        <f>VLOOKUP(B9,'BASE PROVEEDORES'!$A$1:$E$29,3,FALSE)</f>
        <v>#N/A</v>
      </c>
      <c r="E9" t="e">
        <f>VLOOKUP(B9,'BASE PROVEEDORES'!$A$1:$E$29,4,FALSE)</f>
        <v>#N/A</v>
      </c>
      <c r="F9">
        <v>3</v>
      </c>
      <c r="G9">
        <v>0</v>
      </c>
      <c r="H9">
        <v>1</v>
      </c>
      <c r="I9">
        <v>1</v>
      </c>
      <c r="K9" t="e">
        <f>VLOOKUP(B9,'BASE PROVEEDORES'!$A$1:$E$29,5,FALSE)</f>
        <v>#N/A</v>
      </c>
    </row>
    <row r="10" spans="1:11">
      <c r="A10" t="e">
        <f>VLOOKUP(B10,'BASE PROVEEDORES'!$A$1:$E$29,2,FALSE)</f>
        <v>#N/A</v>
      </c>
      <c r="C10" t="e">
        <f>VLOOKUP(B10,'BASE PROVEEDORES'!$A$1:$E$29,3,FALSE)</f>
        <v>#N/A</v>
      </c>
      <c r="E10" t="e">
        <f>VLOOKUP(B10,'BASE PROVEEDORES'!$A$1:$E$29,4,FALSE)</f>
        <v>#N/A</v>
      </c>
      <c r="F10">
        <v>3</v>
      </c>
      <c r="G10">
        <v>0</v>
      </c>
      <c r="H10">
        <v>1</v>
      </c>
      <c r="I10">
        <v>1</v>
      </c>
      <c r="K10" t="e">
        <f>VLOOKUP(B10,'BASE PROVEEDORES'!$A$1:$E$29,5,FALSE)</f>
        <v>#N/A</v>
      </c>
    </row>
    <row r="11" spans="1:11">
      <c r="A11" t="e">
        <f>VLOOKUP(B11,'BASE PROVEEDORES'!$A$1:$E$29,2,FALSE)</f>
        <v>#N/A</v>
      </c>
      <c r="C11" t="e">
        <f>VLOOKUP(B11,'BASE PROVEEDORES'!$A$1:$E$29,3,FALSE)</f>
        <v>#N/A</v>
      </c>
      <c r="E11" t="e">
        <f>VLOOKUP(B11,'BASE PROVEEDORES'!$A$1:$E$29,4,FALSE)</f>
        <v>#N/A</v>
      </c>
      <c r="F11">
        <v>3</v>
      </c>
      <c r="G11">
        <v>0</v>
      </c>
      <c r="H11">
        <v>1</v>
      </c>
      <c r="I11">
        <v>1</v>
      </c>
      <c r="K11" t="e">
        <f>VLOOKUP(B11,'BASE PROVEEDORES'!$A$1:$E$29,5,FALSE)</f>
        <v>#N/A</v>
      </c>
    </row>
    <row r="12" spans="1:11">
      <c r="A12" t="e">
        <f>VLOOKUP(B12,'BASE PROVEEDORES'!$A$1:$E$29,2,FALSE)</f>
        <v>#N/A</v>
      </c>
      <c r="C12" t="e">
        <f>VLOOKUP(B12,'BASE PROVEEDORES'!$A$1:$E$29,3,FALSE)</f>
        <v>#N/A</v>
      </c>
      <c r="E12" t="e">
        <f>VLOOKUP(B12,'BASE PROVEEDORES'!$A$1:$E$29,4,FALSE)</f>
        <v>#N/A</v>
      </c>
      <c r="F12">
        <v>3</v>
      </c>
      <c r="G12">
        <v>0</v>
      </c>
      <c r="H12">
        <v>1</v>
      </c>
      <c r="I12">
        <v>1</v>
      </c>
      <c r="K12" t="e">
        <f>VLOOKUP(B12,'BASE PROVEEDORES'!$A$1:$E$29,5,FALSE)</f>
        <v>#N/A</v>
      </c>
    </row>
    <row r="13" spans="1:11">
      <c r="A13" t="e">
        <f>VLOOKUP(B13,'BASE PROVEEDORES'!$A$1:$E$29,2,FALSE)</f>
        <v>#N/A</v>
      </c>
      <c r="C13" t="e">
        <f>VLOOKUP(B13,'BASE PROVEEDORES'!$A$1:$E$29,3,FALSE)</f>
        <v>#N/A</v>
      </c>
      <c r="E13" t="e">
        <f>VLOOKUP(B13,'BASE PROVEEDORES'!$A$1:$E$29,4,FALSE)</f>
        <v>#N/A</v>
      </c>
      <c r="F13">
        <v>3</v>
      </c>
      <c r="G13">
        <v>0</v>
      </c>
      <c r="H13">
        <v>1</v>
      </c>
      <c r="I13">
        <v>1</v>
      </c>
      <c r="K13" t="e">
        <f>VLOOKUP(B13,'BASE PROVEEDORES'!$A$1:$E$29,5,FALSE)</f>
        <v>#N/A</v>
      </c>
    </row>
    <row r="14" spans="1:11">
      <c r="A14" t="e">
        <f>VLOOKUP(B14,'BASE PROVEEDORES'!$A$1:$E$29,2,FALSE)</f>
        <v>#N/A</v>
      </c>
      <c r="C14" t="e">
        <f>VLOOKUP(B14,'BASE PROVEEDORES'!$A$1:$E$29,3,FALSE)</f>
        <v>#N/A</v>
      </c>
      <c r="E14" t="e">
        <f>VLOOKUP(B14,'BASE PROVEEDORES'!$A$1:$E$29,4,FALSE)</f>
        <v>#N/A</v>
      </c>
      <c r="F14">
        <v>3</v>
      </c>
      <c r="G14">
        <v>0</v>
      </c>
      <c r="H14">
        <v>1</v>
      </c>
      <c r="I14">
        <v>1</v>
      </c>
      <c r="K14" t="e">
        <f>VLOOKUP(B14,'BASE PROVEEDORES'!$A$1:$E$29,5,FALSE)</f>
        <v>#N/A</v>
      </c>
    </row>
    <row r="15" spans="1:11">
      <c r="A15" t="e">
        <f>VLOOKUP(B15,'BASE PROVEEDORES'!$A$1:$E$29,2,FALSE)</f>
        <v>#N/A</v>
      </c>
      <c r="C15" t="e">
        <f>VLOOKUP(B15,'BASE PROVEEDORES'!$A$1:$E$29,3,FALSE)</f>
        <v>#N/A</v>
      </c>
      <c r="E15" t="e">
        <f>VLOOKUP(B15,'BASE PROVEEDORES'!$A$1:$E$29,4,FALSE)</f>
        <v>#N/A</v>
      </c>
      <c r="F15">
        <v>3</v>
      </c>
      <c r="G15">
        <v>0</v>
      </c>
      <c r="H15">
        <v>1</v>
      </c>
      <c r="I15">
        <v>1</v>
      </c>
      <c r="K15" t="e">
        <f>VLOOKUP(B15,'BASE PROVEEDORES'!$A$1:$E$29,5,FALSE)</f>
        <v>#N/A</v>
      </c>
    </row>
    <row r="16" spans="1:11">
      <c r="A16" t="e">
        <f>VLOOKUP(B16,'BASE PROVEEDORES'!$A$1:$E$29,2,FALSE)</f>
        <v>#N/A</v>
      </c>
      <c r="C16" t="e">
        <f>VLOOKUP(B16,'BASE PROVEEDORES'!$A$1:$E$29,3,FALSE)</f>
        <v>#N/A</v>
      </c>
      <c r="E16" t="e">
        <f>VLOOKUP(B16,'BASE PROVEEDORES'!$A$1:$E$29,4,FALSE)</f>
        <v>#N/A</v>
      </c>
      <c r="F16">
        <v>3</v>
      </c>
      <c r="G16">
        <v>0</v>
      </c>
      <c r="H16">
        <v>1</v>
      </c>
      <c r="I16">
        <v>1</v>
      </c>
      <c r="K16" t="e">
        <f>VLOOKUP(B16,'BASE PROVEEDORES'!$A$1:$E$29,5,FALSE)</f>
        <v>#N/A</v>
      </c>
    </row>
    <row r="17" spans="1:11">
      <c r="A17" t="e">
        <f>VLOOKUP(B17,'BASE PROVEEDORES'!$A$1:$E$29,2,FALSE)</f>
        <v>#N/A</v>
      </c>
      <c r="C17" t="e">
        <f>VLOOKUP(B17,'BASE PROVEEDORES'!$A$1:$E$29,3,FALSE)</f>
        <v>#N/A</v>
      </c>
      <c r="E17" t="e">
        <f>VLOOKUP(B17,'BASE PROVEEDORES'!$A$1:$E$29,4,FALSE)</f>
        <v>#N/A</v>
      </c>
      <c r="F17">
        <v>3</v>
      </c>
      <c r="G17">
        <v>0</v>
      </c>
      <c r="H17">
        <v>1</v>
      </c>
      <c r="I17">
        <v>1</v>
      </c>
      <c r="K17" t="e">
        <f>VLOOKUP(B17,'BASE PROVEEDORES'!$A$1:$E$29,5,FALSE)</f>
        <v>#N/A</v>
      </c>
    </row>
    <row r="18" spans="1:11">
      <c r="A18" t="e">
        <f>VLOOKUP(B18,'BASE PROVEEDORES'!$A$1:$E$29,2,FALSE)</f>
        <v>#N/A</v>
      </c>
      <c r="C18" t="e">
        <f>VLOOKUP(B18,'BASE PROVEEDORES'!$A$1:$E$29,3,FALSE)</f>
        <v>#N/A</v>
      </c>
      <c r="E18" t="e">
        <f>VLOOKUP(B18,'BASE PROVEEDORES'!$A$1:$E$29,4,FALSE)</f>
        <v>#N/A</v>
      </c>
      <c r="F18">
        <v>3</v>
      </c>
      <c r="G18">
        <v>0</v>
      </c>
      <c r="H18">
        <v>1</v>
      </c>
      <c r="I18">
        <v>1</v>
      </c>
      <c r="K18" t="e">
        <f>VLOOKUP(B18,'BASE PROVEEDORES'!$A$1:$E$29,5,FALSE)</f>
        <v>#N/A</v>
      </c>
    </row>
    <row r="19" spans="1:11">
      <c r="A19" t="e">
        <f>VLOOKUP(B19,'BASE PROVEEDORES'!$A$1:$E$29,2,FALSE)</f>
        <v>#N/A</v>
      </c>
      <c r="C19" t="e">
        <f>VLOOKUP(B19,'BASE PROVEEDORES'!$A$1:$E$29,3,FALSE)</f>
        <v>#N/A</v>
      </c>
      <c r="E19" t="e">
        <f>VLOOKUP(B19,'BASE PROVEEDORES'!$A$1:$E$29,4,FALSE)</f>
        <v>#N/A</v>
      </c>
      <c r="F19">
        <v>3</v>
      </c>
      <c r="G19">
        <v>0</v>
      </c>
      <c r="H19">
        <v>1</v>
      </c>
      <c r="I19">
        <v>1</v>
      </c>
      <c r="K19" t="e">
        <f>VLOOKUP(B19,'BASE PROVEEDORES'!$A$1:$E$29,5,FALSE)</f>
        <v>#N/A</v>
      </c>
    </row>
    <row r="20" spans="1:11">
      <c r="A20" t="e">
        <f>VLOOKUP(B20,'BASE PROVEEDORES'!$A$1:$E$29,2,FALSE)</f>
        <v>#N/A</v>
      </c>
      <c r="C20" t="e">
        <f>VLOOKUP(B20,'BASE PROVEEDORES'!$A$1:$E$29,3,FALSE)</f>
        <v>#N/A</v>
      </c>
      <c r="E20" t="e">
        <f>VLOOKUP(B20,'BASE PROVEEDORES'!$A$1:$E$29,4,FALSE)</f>
        <v>#N/A</v>
      </c>
      <c r="F20">
        <v>3</v>
      </c>
      <c r="G20">
        <v>0</v>
      </c>
      <c r="H20">
        <v>1</v>
      </c>
      <c r="I20">
        <v>1</v>
      </c>
      <c r="K20" t="e">
        <f>VLOOKUP(B20,'BASE PROVEEDORES'!$A$1:$E$29,5,FALSE)</f>
        <v>#N/A</v>
      </c>
    </row>
    <row r="21" spans="1:11">
      <c r="A21" t="e">
        <f>VLOOKUP(B21,'BASE PROVEEDORES'!$A$1:$E$29,2,FALSE)</f>
        <v>#N/A</v>
      </c>
      <c r="C21" t="e">
        <f>VLOOKUP(B21,'BASE PROVEEDORES'!$A$1:$E$29,3,FALSE)</f>
        <v>#N/A</v>
      </c>
      <c r="E21" t="e">
        <f>VLOOKUP(B21,'BASE PROVEEDORES'!$A$1:$E$29,4,FALSE)</f>
        <v>#N/A</v>
      </c>
      <c r="F21">
        <v>3</v>
      </c>
      <c r="G21">
        <v>0</v>
      </c>
      <c r="H21">
        <v>1</v>
      </c>
      <c r="I21">
        <v>1</v>
      </c>
      <c r="K21" t="e">
        <f>VLOOKUP(B21,'BASE PROVEEDORES'!$A$1:$E$29,5,FALSE)</f>
        <v>#N/A</v>
      </c>
    </row>
    <row r="22" spans="1:11">
      <c r="A22" t="e">
        <f>VLOOKUP(B22,'BASE PROVEEDORES'!$A$1:$E$29,2,FALSE)</f>
        <v>#N/A</v>
      </c>
      <c r="C22" t="e">
        <f>VLOOKUP(B22,'BASE PROVEEDORES'!$A$1:$E$29,3,FALSE)</f>
        <v>#N/A</v>
      </c>
      <c r="E22" t="e">
        <f>VLOOKUP(B22,'BASE PROVEEDORES'!$A$1:$E$29,4,FALSE)</f>
        <v>#N/A</v>
      </c>
      <c r="F22">
        <v>3</v>
      </c>
      <c r="G22">
        <v>0</v>
      </c>
      <c r="H22">
        <v>1</v>
      </c>
      <c r="I22">
        <v>1</v>
      </c>
      <c r="K22" t="e">
        <f>VLOOKUP(B22,'BASE PROVEEDORES'!$A$1:$E$29,5,FALSE)</f>
        <v>#N/A</v>
      </c>
    </row>
    <row r="23" spans="1:11">
      <c r="A23" t="e">
        <f>VLOOKUP(B23,'BASE PROVEEDORES'!$A$1:$E$29,2,FALSE)</f>
        <v>#N/A</v>
      </c>
      <c r="C23" t="e">
        <f>VLOOKUP(B23,'BASE PROVEEDORES'!$A$1:$E$29,3,FALSE)</f>
        <v>#N/A</v>
      </c>
      <c r="E23" t="e">
        <f>VLOOKUP(B23,'BASE PROVEEDORES'!$A$1:$E$29,4,FALSE)</f>
        <v>#N/A</v>
      </c>
      <c r="F23">
        <v>3</v>
      </c>
      <c r="G23">
        <v>0</v>
      </c>
      <c r="H23">
        <v>1</v>
      </c>
      <c r="I23">
        <v>1</v>
      </c>
      <c r="K23" t="e">
        <f>VLOOKUP(B23,'BASE PROVEEDORES'!$A$1:$E$29,5,FALSE)</f>
        <v>#N/A</v>
      </c>
    </row>
    <row r="24" spans="1:11">
      <c r="A24" t="e">
        <f>VLOOKUP(B24,'BASE PROVEEDORES'!$A$1:$E$29,2,FALSE)</f>
        <v>#N/A</v>
      </c>
      <c r="C24" t="e">
        <f>VLOOKUP(B24,'BASE PROVEEDORES'!$A$1:$E$29,3,FALSE)</f>
        <v>#N/A</v>
      </c>
      <c r="E24" t="e">
        <f>VLOOKUP(B24,'BASE PROVEEDORES'!$A$1:$E$29,4,FALSE)</f>
        <v>#N/A</v>
      </c>
      <c r="F24">
        <v>3</v>
      </c>
      <c r="G24">
        <v>0</v>
      </c>
      <c r="H24">
        <v>1</v>
      </c>
      <c r="I24">
        <v>1</v>
      </c>
      <c r="K24" t="e">
        <f>VLOOKUP(B24,'BASE PROVEEDORES'!$A$1:$E$29,5,FALSE)</f>
        <v>#N/A</v>
      </c>
    </row>
    <row r="25" spans="1:11">
      <c r="A25" t="e">
        <f>VLOOKUP(B25,'BASE PROVEEDORES'!$A$1:$E$29,2,FALSE)</f>
        <v>#N/A</v>
      </c>
      <c r="C25" t="e">
        <f>VLOOKUP(B25,'BASE PROVEEDORES'!$A$1:$E$29,3,FALSE)</f>
        <v>#N/A</v>
      </c>
      <c r="E25" t="e">
        <f>VLOOKUP(B25,'BASE PROVEEDORES'!$A$1:$E$29,4,FALSE)</f>
        <v>#N/A</v>
      </c>
      <c r="F25">
        <v>3</v>
      </c>
      <c r="G25">
        <v>0</v>
      </c>
      <c r="H25">
        <v>1</v>
      </c>
      <c r="I25">
        <v>1</v>
      </c>
      <c r="K25" t="e">
        <f>VLOOKUP(B25,'BASE PROVEEDORES'!$A$1:$E$29,5,FALSE)</f>
        <v>#N/A</v>
      </c>
    </row>
    <row r="26" spans="1:11">
      <c r="A26" t="e">
        <f>VLOOKUP(B26,'BASE PROVEEDORES'!$A$1:$E$29,2,FALSE)</f>
        <v>#N/A</v>
      </c>
      <c r="C26" t="e">
        <f>VLOOKUP(B26,'BASE PROVEEDORES'!$A$1:$E$29,3,FALSE)</f>
        <v>#N/A</v>
      </c>
      <c r="E26" t="e">
        <f>VLOOKUP(B26,'BASE PROVEEDORES'!$A$1:$E$29,4,FALSE)</f>
        <v>#N/A</v>
      </c>
      <c r="F26">
        <v>3</v>
      </c>
      <c r="G26">
        <v>0</v>
      </c>
      <c r="H26">
        <v>1</v>
      </c>
      <c r="I26">
        <v>1</v>
      </c>
      <c r="K26" t="e">
        <f>VLOOKUP(B26,'BASE PROVEEDORES'!$A$1:$E$29,5,FALSE)</f>
        <v>#N/A</v>
      </c>
    </row>
    <row r="27" spans="1:11">
      <c r="A27" t="e">
        <f>VLOOKUP(B27,'BASE PROVEEDORES'!$A$1:$E$29,2,FALSE)</f>
        <v>#N/A</v>
      </c>
      <c r="C27" t="e">
        <f>VLOOKUP(B27,'BASE PROVEEDORES'!$A$1:$E$29,3,FALSE)</f>
        <v>#N/A</v>
      </c>
      <c r="E27" t="e">
        <f>VLOOKUP(B27,'BASE PROVEEDORES'!$A$1:$E$29,4,FALSE)</f>
        <v>#N/A</v>
      </c>
      <c r="F27">
        <v>3</v>
      </c>
      <c r="G27">
        <v>0</v>
      </c>
      <c r="H27">
        <v>1</v>
      </c>
      <c r="I27">
        <v>1</v>
      </c>
      <c r="K27" t="e">
        <f>VLOOKUP(B27,'BASE PROVEEDORES'!$A$1:$E$29,5,FALSE)</f>
        <v>#N/A</v>
      </c>
    </row>
    <row r="28" spans="1:11">
      <c r="A28" t="e">
        <f>VLOOKUP(B28,'BASE PROVEEDORES'!$A$1:$E$29,2,FALSE)</f>
        <v>#N/A</v>
      </c>
      <c r="C28" t="e">
        <f>VLOOKUP(B28,'BASE PROVEEDORES'!$A$1:$E$29,3,FALSE)</f>
        <v>#N/A</v>
      </c>
      <c r="E28" t="e">
        <f>VLOOKUP(B28,'BASE PROVEEDORES'!$A$1:$E$29,4,FALSE)</f>
        <v>#N/A</v>
      </c>
      <c r="F28">
        <v>3</v>
      </c>
      <c r="G28">
        <v>0</v>
      </c>
      <c r="H28">
        <v>1</v>
      </c>
      <c r="I28">
        <v>1</v>
      </c>
      <c r="K28" t="e">
        <f>VLOOKUP(B28,'BASE PROVEEDORES'!$A$1:$E$29,5,FALSE)</f>
        <v>#N/A</v>
      </c>
    </row>
    <row r="29" spans="1:11">
      <c r="A29" t="e">
        <f>VLOOKUP(B29,'BASE PROVEEDORES'!$A$1:$E$29,2,FALSE)</f>
        <v>#N/A</v>
      </c>
      <c r="C29" t="e">
        <f>VLOOKUP(B29,'BASE PROVEEDORES'!$A$1:$E$29,3,FALSE)</f>
        <v>#N/A</v>
      </c>
      <c r="E29" t="e">
        <f>VLOOKUP(B29,'BASE PROVEEDORES'!$A$1:$E$29,4,FALSE)</f>
        <v>#N/A</v>
      </c>
      <c r="F29">
        <v>3</v>
      </c>
      <c r="G29">
        <v>0</v>
      </c>
      <c r="H29">
        <v>1</v>
      </c>
      <c r="I29">
        <v>1</v>
      </c>
      <c r="K29" t="e">
        <f>VLOOKUP(B29,'BASE PROVEEDORES'!$A$1:$E$29,5,FALSE)</f>
        <v>#N/A</v>
      </c>
    </row>
    <row r="30" spans="1:11">
      <c r="A30" t="e">
        <f>VLOOKUP(B30,'BASE PROVEEDORES'!$A$1:$E$29,2,FALSE)</f>
        <v>#N/A</v>
      </c>
      <c r="C30" t="e">
        <f>VLOOKUP(B30,'BASE PROVEEDORES'!$A$1:$E$29,3,FALSE)</f>
        <v>#N/A</v>
      </c>
      <c r="E30" t="e">
        <f>VLOOKUP(B30,'BASE PROVEEDORES'!$A$1:$E$29,4,FALSE)</f>
        <v>#N/A</v>
      </c>
      <c r="F30">
        <v>3</v>
      </c>
      <c r="G30">
        <v>0</v>
      </c>
      <c r="H30">
        <v>1</v>
      </c>
      <c r="I30">
        <v>1</v>
      </c>
      <c r="K30" t="e">
        <f>VLOOKUP(B30,'BASE PROVEEDORES'!$A$1:$E$29,5,FALSE)</f>
        <v>#N/A</v>
      </c>
    </row>
    <row r="31" spans="1:11">
      <c r="A31" t="e">
        <f>VLOOKUP(B31,'BASE PROVEEDORES'!$A$1:$E$29,2,FALSE)</f>
        <v>#N/A</v>
      </c>
      <c r="C31" t="e">
        <f>VLOOKUP(B31,'BASE PROVEEDORES'!$A$1:$E$29,3,FALSE)</f>
        <v>#N/A</v>
      </c>
      <c r="E31" t="e">
        <f>VLOOKUP(B31,'BASE PROVEEDORES'!$A$1:$E$29,4,FALSE)</f>
        <v>#N/A</v>
      </c>
      <c r="F31">
        <v>3</v>
      </c>
      <c r="G31">
        <v>0</v>
      </c>
      <c r="H31">
        <v>1</v>
      </c>
      <c r="I31">
        <v>1</v>
      </c>
      <c r="K31" t="e">
        <f>VLOOKUP(B31,'BASE PROVEEDORES'!$A$1:$E$29,5,FALSE)</f>
        <v>#N/A</v>
      </c>
    </row>
    <row r="32" spans="1:11">
      <c r="A32" t="e">
        <f>VLOOKUP(B32,'BASE PROVEEDORES'!$A$1:$E$29,2,FALSE)</f>
        <v>#N/A</v>
      </c>
      <c r="C32" t="e">
        <f>VLOOKUP(B32,'BASE PROVEEDORES'!$A$1:$E$29,3,FALSE)</f>
        <v>#N/A</v>
      </c>
      <c r="E32" t="e">
        <f>VLOOKUP(B32,'BASE PROVEEDORES'!$A$1:$E$29,4,FALSE)</f>
        <v>#N/A</v>
      </c>
      <c r="F32">
        <v>3</v>
      </c>
      <c r="G32">
        <v>0</v>
      </c>
      <c r="H32">
        <v>1</v>
      </c>
      <c r="I32">
        <v>1</v>
      </c>
      <c r="K32" t="e">
        <f>VLOOKUP(B32,'BASE PROVEEDORES'!$A$1:$E$29,5,FALSE)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A93919B134042B27F9E8453323094" ma:contentTypeVersion="15" ma:contentTypeDescription="Create a new document." ma:contentTypeScope="" ma:versionID="15141feb003422703c85273b96b22900">
  <xsd:schema xmlns:xsd="http://www.w3.org/2001/XMLSchema" xmlns:xs="http://www.w3.org/2001/XMLSchema" xmlns:p="http://schemas.microsoft.com/office/2006/metadata/properties" xmlns:ns3="908afcd0-7c6f-4b95-b6c5-bc51880a1239" xmlns:ns4="0c5a4743-5326-464d-9924-8870e5c887a9" targetNamespace="http://schemas.microsoft.com/office/2006/metadata/properties" ma:root="true" ma:fieldsID="646bd06994ca2cbe32bd0dfaab3317bf" ns3:_="" ns4:_="">
    <xsd:import namespace="908afcd0-7c6f-4b95-b6c5-bc51880a1239"/>
    <xsd:import namespace="0c5a4743-5326-464d-9924-8870e5c887a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afcd0-7c6f-4b95-b6c5-bc51880a12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a4743-5326-464d-9924-8870e5c887a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8afcd0-7c6f-4b95-b6c5-bc51880a1239" xsi:nil="true"/>
  </documentManagement>
</p:properties>
</file>

<file path=customXml/itemProps1.xml><?xml version="1.0" encoding="utf-8"?>
<ds:datastoreItem xmlns:ds="http://schemas.openxmlformats.org/officeDocument/2006/customXml" ds:itemID="{5303CC84-BA1A-4572-8511-62EF85DE5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8afcd0-7c6f-4b95-b6c5-bc51880a1239"/>
    <ds:schemaRef ds:uri="0c5a4743-5326-464d-9924-8870e5c88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A75E6E-34C2-4D33-A460-5DB9A512D9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C2E2A-2330-4E2F-9685-556F9D634CBC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908afcd0-7c6f-4b95-b6c5-bc51880a1239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0c5a4743-5326-464d-9924-8870e5c887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43</vt:i4>
      </vt:variant>
    </vt:vector>
  </HeadingPairs>
  <TitlesOfParts>
    <vt:vector size="48" baseType="lpstr">
      <vt:lpstr>Soliciutd OC</vt:lpstr>
      <vt:lpstr>Hoja1</vt:lpstr>
      <vt:lpstr>Tablas</vt:lpstr>
      <vt:lpstr>BASE PROVEEDORES</vt:lpstr>
      <vt:lpstr>BASE PROVEEDORES BANCO</vt:lpstr>
      <vt:lpstr>'Soliciutd OC'!Área_de_impresión</vt:lpstr>
      <vt:lpstr>CENTRO</vt:lpstr>
      <vt:lpstr>corredora</vt:lpstr>
      <vt:lpstr>cuentas</vt:lpstr>
      <vt:lpstr>documentos</vt:lpstr>
      <vt:lpstr>Empresa</vt:lpstr>
      <vt:lpstr>LISTA1</vt:lpstr>
      <vt:lpstr>lista10</vt:lpstr>
      <vt:lpstr>LISTA11</vt:lpstr>
      <vt:lpstr>LISTA12</vt:lpstr>
      <vt:lpstr>LISTA13</vt:lpstr>
      <vt:lpstr>LISTA14</vt:lpstr>
      <vt:lpstr>LISTA19</vt:lpstr>
      <vt:lpstr>LISTA2</vt:lpstr>
      <vt:lpstr>LISTA20</vt:lpstr>
      <vt:lpstr>LISTA21</vt:lpstr>
      <vt:lpstr>LISTA26</vt:lpstr>
      <vt:lpstr>LISTA27</vt:lpstr>
      <vt:lpstr>LISTA28</vt:lpstr>
      <vt:lpstr>LISTA29</vt:lpstr>
      <vt:lpstr>LISTA3</vt:lpstr>
      <vt:lpstr>LISTA30</vt:lpstr>
      <vt:lpstr>LISTA31</vt:lpstr>
      <vt:lpstr>LISTA32</vt:lpstr>
      <vt:lpstr>LISTA33</vt:lpstr>
      <vt:lpstr>LISTA34</vt:lpstr>
      <vt:lpstr>LISTA35</vt:lpstr>
      <vt:lpstr>LISTA36</vt:lpstr>
      <vt:lpstr>LISTA37</vt:lpstr>
      <vt:lpstr>LISTA38</vt:lpstr>
      <vt:lpstr>LISTA39</vt:lpstr>
      <vt:lpstr>LISTA4</vt:lpstr>
      <vt:lpstr>lista41</vt:lpstr>
      <vt:lpstr>LISTA43</vt:lpstr>
      <vt:lpstr>LISTA44</vt:lpstr>
      <vt:lpstr>LISTA5</vt:lpstr>
      <vt:lpstr>LISTA6</vt:lpstr>
      <vt:lpstr>LISTA7</vt:lpstr>
      <vt:lpstr>LISTA8</vt:lpstr>
      <vt:lpstr>LISTA9</vt:lpstr>
      <vt:lpstr>PAGO</vt:lpstr>
      <vt:lpstr>TABLACC</vt:lpstr>
      <vt:lpstr>TIPO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Martinez</dc:creator>
  <cp:lastModifiedBy>Victor Nazar</cp:lastModifiedBy>
  <cp:revision/>
  <cp:lastPrinted>2026-04-22T14:23:07Z</cp:lastPrinted>
  <dcterms:created xsi:type="dcterms:W3CDTF">2016-03-14T12:20:10Z</dcterms:created>
  <dcterms:modified xsi:type="dcterms:W3CDTF">2026-04-22T14:24:52Z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0x010100063A93919B134042B27F9E8453323094</vt:lpwstr>
  </property>
</Properties>
</file>